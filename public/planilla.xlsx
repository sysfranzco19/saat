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eral" sheetId="1" r:id="rId3"/>
    <sheet state="visible" name="1erTRIM" sheetId="2" r:id="rId4"/>
    <sheet state="visible" name="2doTRIM" sheetId="3" r:id="rId5"/>
    <sheet state="visible" name="3erTRIM" sheetId="4" r:id="rId6"/>
    <sheet state="visible" name="Finales" sheetId="5" r:id="rId7"/>
    <sheet state="hidden" name="Dim" sheetId="6" r:id="rId8"/>
  </sheets>
  <definedNames>
    <definedName localSheetId="3" name="StudentNames">'3erTRIM'!$C$8:$C$38</definedName>
    <definedName localSheetId="3" name="ClassAvgPoints">'3erTRIM'!$F$7:$AG$7</definedName>
    <definedName localSheetId="4" name="StudentNames">Finales!$C$7:$C$37</definedName>
    <definedName name="ClassAvgPoints">'1erTRIM'!$F$7:$AG$7</definedName>
    <definedName localSheetId="2" name="PointValues">'2doTRIM'!$F$5:$AG$5</definedName>
    <definedName localSheetId="1" name="StudentNames">'1erTRIM'!$C$8:$C$38</definedName>
    <definedName localSheetId="4" name="ClassAvgPoints">Finales!$F$6:$H$6</definedName>
    <definedName localSheetId="4" name="TotalPoints">Finales!$E$5</definedName>
    <definedName name="StudentGrades">'1erTRIM'!$D$8:$D$38</definedName>
    <definedName localSheetId="3" name="PointValues">'3erTRIM'!$F$5:$AG$5</definedName>
    <definedName localSheetId="4" name="PointValues">Finales!$F$4:$H$4</definedName>
    <definedName name="TotalPoints">'1erTRIM'!$E$6</definedName>
    <definedName name="Grades">General!$F$7:$F$19</definedName>
    <definedName localSheetId="3" name="StudentGrades">'3erTRIM'!$D$8:$D$38</definedName>
    <definedName localSheetId="2" name="ClassAvgPoints">'2doTRIM'!$F$7:$AG$7</definedName>
    <definedName localSheetId="4" name="StudentGrades">Finales!$D$7:$D$37</definedName>
    <definedName localSheetId="3" name="TotalPoints">'3erTRIM'!$E$6</definedName>
    <definedName localSheetId="2" name="StudentNames">'2doTRIM'!$C$8:$C$38</definedName>
    <definedName localSheetId="2" name="StudentGrades">'2doTRIM'!$D$8:$D$38</definedName>
    <definedName localSheetId="2" name="TotalPoints">'2doTRIM'!$E$6</definedName>
    <definedName name="PointValues">'1erTRIM'!$F$5:$AG$5</definedName>
    <definedName name="GradeRange">General!$D$7:$D$19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E6">
      <text>
        <t xml:space="preserve">This cell only shows the total number of points for assignments that have been completed. It's used to calculate the percentage grades in column D and is referenced as 'TotalPoints'.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E6">
      <text>
        <t xml:space="preserve">This cell only shows the total number of points for assignments that have been completed. It's used to calculate the percentage grades in column D and is referenced as 'TotalPoints'.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E6">
      <text>
        <t xml:space="preserve">This cell only shows the total number of points for assignments that have been completed. It's used to calculate the percentage grades in column D and is referenced as 'TotalPoints'.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E5">
      <text>
        <t xml:space="preserve">This cell only shows the total number of points for assignments that have been completed. It's used to calculate the percentage grades in column D and is referenced as 'TotalPoints'.</t>
      </text>
    </comment>
  </commentList>
</comments>
</file>

<file path=xl/sharedStrings.xml><?xml version="1.0" encoding="utf-8"?>
<sst xmlns="http://schemas.openxmlformats.org/spreadsheetml/2006/main" count="106" uniqueCount="56">
  <si>
    <t>Docente:</t>
  </si>
  <si>
    <t>Trimestre Actual :</t>
  </si>
  <si>
    <t>PRIMER TRIMESTRE</t>
  </si>
  <si>
    <t xml:space="preserve">
El sistema de calificación, esta definido por "Intervalo de Puntos" y "Nota" que aparecen más abajo. 
El total de Estudiantes con una nota determinada se calcula automáticamente en función de las calificaciones del Trimestre Actual. 
</t>
  </si>
  <si>
    <t>SISTEMA DE CALIFICACIÓN</t>
  </si>
  <si>
    <t xml:space="preserve">DISTRIBUCIÓN DE LAS NOTAS </t>
  </si>
  <si>
    <t>PUNTUACIONES PROMEDIO</t>
  </si>
  <si>
    <t>Intervalo de puntos</t>
  </si>
  <si>
    <t>Nota</t>
  </si>
  <si>
    <t>N.º de Estudiantes</t>
  </si>
  <si>
    <t>según el promedio de la clase</t>
  </si>
  <si>
    <t>por Dimensión</t>
  </si>
  <si>
    <t>-</t>
  </si>
  <si>
    <t>DP+</t>
  </si>
  <si>
    <t>DO</t>
  </si>
  <si>
    <t>DA</t>
  </si>
  <si>
    <t>ED-</t>
  </si>
  <si>
    <t>Desarrollo Pleno</t>
  </si>
  <si>
    <t>Desarrollo Óptimo</t>
  </si>
  <si>
    <t>Desarrollo Aceptable</t>
  </si>
  <si>
    <t>En Desarrollo</t>
  </si>
  <si>
    <t>NOTAS 1ER TRIMESTRE</t>
  </si>
  <si>
    <t>SER</t>
  </si>
  <si>
    <t>SABER</t>
  </si>
  <si>
    <t>HACER</t>
  </si>
  <si>
    <t>DECIDIR</t>
  </si>
  <si>
    <t>AUTOEVALUACIÓN</t>
  </si>
  <si>
    <t>N.F.</t>
  </si>
  <si>
    <t>FECHAS</t>
  </si>
  <si>
    <t>NOTA 
1ER
TRIMESTRE</t>
  </si>
  <si>
    <t>EVALUACIONES</t>
  </si>
  <si>
    <t>SER
10%</t>
  </si>
  <si>
    <t>SABER
35%</t>
  </si>
  <si>
    <t>HACER
35%</t>
  </si>
  <si>
    <t>DECIDIR
10%</t>
  </si>
  <si>
    <t>SER
5%</t>
  </si>
  <si>
    <t>DECIDIR
5%</t>
  </si>
  <si>
    <t xml:space="preserve">Total (acumulado): </t>
  </si>
  <si>
    <t>Promedio de la clase</t>
  </si>
  <si>
    <t>MEDIANAS</t>
  </si>
  <si>
    <t>NOTA MÁXIMA</t>
  </si>
  <si>
    <t>NOTA MÍNIMA</t>
  </si>
  <si>
    <t>NOTAS 2DO TRIMESTRE</t>
  </si>
  <si>
    <t>NOTA 
2DO
TRIMESTRE</t>
  </si>
  <si>
    <t>NOTAS 3ER TRIMESTRE</t>
  </si>
  <si>
    <t>NOTA 
3ER
TRIMESTRE</t>
  </si>
  <si>
    <t>NOTAS FINALES</t>
  </si>
  <si>
    <t>NOTA 
ANUAL</t>
  </si>
  <si>
    <t>1er
TRIMESTRE</t>
  </si>
  <si>
    <t>2do
TRIMESTRE</t>
  </si>
  <si>
    <t>3er
TRIMESTRE</t>
  </si>
  <si>
    <t>PROMOCIÓN</t>
  </si>
  <si>
    <t>Promedio del Trimestre</t>
  </si>
  <si>
    <t>1er TRIM</t>
  </si>
  <si>
    <t>2do TRIM</t>
  </si>
  <si>
    <t>3er TRIM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</si>
</sst>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-mmm"/>
    <numFmt numFmtId="165" formatCode="0 %"/>
    <numFmt numFmtId="166" formatCode="0.0"/>
  </numFmts>
  <fonts count="40">
    <font>
      <sz val="10.0"/>
      <color rgb="FF000000"/>
      <name val="Arial"/>
    </font>
    <font>
      <sz val="12.0"/>
      <color rgb="FF741B47"/>
      <name val="Roboto"/>
    </font>
    <font>
      <sz val="12.0"/>
      <color rgb="FFEAD1DC"/>
      <name val="Roboto Condensed"/>
    </font>
    <font>
      <color rgb="FFEAD1DC"/>
      <name val="Calibri"/>
    </font>
    <font>
      <sz val="20.0"/>
      <color rgb="FFFFFFFF"/>
      <name val="Roboto"/>
    </font>
    <font>
      <sz val="10.0"/>
      <name val="Roboto"/>
    </font>
    <font>
      <i/>
      <sz val="10.0"/>
      <color rgb="FF741B47"/>
      <name val="Roboto Condensed"/>
    </font>
    <font>
      <i/>
      <sz val="10.0"/>
      <color rgb="FF303F9F"/>
      <name val="Roboto"/>
    </font>
    <font>
      <b/>
      <sz val="10.0"/>
      <color rgb="FF303F9F"/>
      <name val="Roboto"/>
    </font>
    <font>
      <b/>
      <sz val="10.0"/>
      <color rgb="FF741B47"/>
      <name val="Roboto"/>
    </font>
    <font>
      <sz val="10.0"/>
      <color rgb="FF6772AD"/>
      <name val="Roboto"/>
    </font>
    <font>
      <sz val="10.0"/>
      <color rgb="FF741B47"/>
      <name val="Roboto"/>
    </font>
    <font/>
    <font>
      <i/>
      <sz val="10.0"/>
      <color rgb="FF741B47"/>
      <name val="Roboto"/>
    </font>
    <font>
      <sz val="10.0"/>
      <color rgb="FF434343"/>
      <name val="Roboto"/>
    </font>
    <font>
      <b/>
      <sz val="10.0"/>
      <color rgb="FF434343"/>
      <name val="Roboto"/>
    </font>
    <font>
      <sz val="10.0"/>
      <color rgb="FF2A3990"/>
      <name val="Roboto"/>
    </font>
    <font>
      <sz val="10.0"/>
      <color rgb="FFFFFFFF"/>
      <name val="Roboto"/>
    </font>
    <font>
      <i/>
      <sz val="12.0"/>
      <color rgb="FFE8EAF6"/>
      <name val="Roboto"/>
    </font>
    <font>
      <i/>
      <sz val="12.0"/>
      <color rgb="FFEAD1DC"/>
      <name val="Roboto"/>
    </font>
    <font>
      <i/>
      <sz val="11.0"/>
      <color rgb="FFEAD1DC"/>
      <name val="Roboto"/>
    </font>
    <font>
      <b/>
      <sz val="12.0"/>
      <color rgb="FF000000"/>
      <name val="Roboto"/>
    </font>
    <font>
      <b/>
      <sz val="10.0"/>
      <color rgb="FF000000"/>
      <name val="Roboto"/>
    </font>
    <font>
      <sz val="10.0"/>
      <color rgb="FF000000"/>
      <name val="Roboto"/>
    </font>
    <font>
      <i/>
      <sz val="10.0"/>
      <color rgb="FF434343"/>
      <name val="Roboto"/>
    </font>
    <font>
      <i/>
      <color rgb="FF434343"/>
      <name val="Roboto"/>
    </font>
    <font>
      <i/>
      <sz val="10.0"/>
      <color rgb="FF6772AD"/>
      <name val="Roboto"/>
    </font>
    <font>
      <b/>
      <sz val="10.0"/>
      <color rgb="FFEAD1DC"/>
      <name val="Roboto"/>
    </font>
    <font>
      <sz val="10.0"/>
      <color rgb="FFEAD1DC"/>
      <name val="Roboto"/>
    </font>
    <font>
      <b/>
      <color rgb="FFFFFFFF"/>
      <name val="Lato"/>
    </font>
    <font>
      <b/>
      <color rgb="FF666666"/>
      <name val="Lato"/>
    </font>
    <font>
      <color rgb="FF556376"/>
      <name val="Lato"/>
    </font>
    <font>
      <b/>
      <sz val="10.0"/>
      <color rgb="FF1A237E"/>
      <name val="Roboto"/>
    </font>
    <font>
      <sz val="11.0"/>
      <color rgb="FF000000"/>
      <name val="Calibri"/>
    </font>
    <font>
      <color rgb="FF434343"/>
      <name val="Roboto"/>
    </font>
    <font>
      <sz val="10.0"/>
      <color rgb="FF666666"/>
      <name val="Roboto"/>
    </font>
    <font>
      <b/>
      <sz val="14.0"/>
      <color rgb="FF000000"/>
      <name val="Roboto"/>
    </font>
    <font>
      <color rgb="FF434343"/>
      <name val="Lato"/>
    </font>
    <font>
      <sz val="11.0"/>
      <color rgb="FF666666"/>
      <name val="Calibri"/>
    </font>
    <font>
      <name val="Calibri"/>
    </font>
  </fonts>
  <fills count="8">
    <fill>
      <patternFill patternType="none"/>
    </fill>
    <fill>
      <patternFill patternType="lightGray"/>
    </fill>
    <fill>
      <patternFill patternType="solid">
        <fgColor rgb="FF741B47"/>
        <bgColor rgb="FF741B47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F9F9F9"/>
        <bgColor rgb="FFF9F9F9"/>
      </patternFill>
    </fill>
  </fills>
  <borders count="14">
    <border/>
    <border>
      <right/>
    </border>
    <border>
      <bottom style="thin">
        <color rgb="FFC5CAE9"/>
      </bottom>
    </border>
    <border>
      <top style="thin">
        <color rgb="FFC5CAE9"/>
      </top>
    </border>
    <border>
      <left style="thin">
        <color rgb="FFCCCCCC"/>
      </left>
      <right style="thin">
        <color rgb="FFCCCCCC"/>
      </right>
    </border>
    <border>
      <left style="thin">
        <color rgb="FFCCCCCC"/>
      </left>
    </border>
    <border>
      <left style="thin">
        <color rgb="FFCCCCCC"/>
      </left>
      <top style="thin">
        <color rgb="FFCCCCCC"/>
      </top>
    </border>
    <border>
      <right style="thin">
        <color rgb="FFCCCCCC"/>
      </right>
      <top style="thin">
        <color rgb="FFCCCCCC"/>
      </top>
    </border>
    <border>
      <left style="thin">
        <color rgb="FFCCCCCC"/>
      </left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right style="thin">
        <color rgb="FFC5CAE9"/>
      </right>
    </border>
    <border>
      <left style="thin">
        <color rgb="FFCCCCCC"/>
      </left>
      <right style="thin">
        <color rgb="FFCCCCCC"/>
      </right>
      <top style="thin">
        <color rgb="FFCCCCCC"/>
      </top>
    </border>
    <border>
      <right style="thin">
        <color rgb="FFCCCCCC"/>
      </right>
    </border>
    <border>
      <left style="thin">
        <color rgb="FFCCCCCC"/>
      </left>
      <right style="thin">
        <color rgb="FFCCCCCC"/>
      </right>
      <bottom style="thin">
        <color rgb="FFCCCCCC"/>
      </bottom>
    </border>
  </borders>
  <cellStyleXfs count="1">
    <xf borderId="0" fillId="0" fontId="0" numFmtId="0" applyAlignment="1" applyFont="1"/>
  </cellStyleXfs>
  <cellXfs count="15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vertical="bottom"/>
    </xf>
    <xf borderId="0" fillId="2" fontId="2" numFmtId="0" xfId="0" applyAlignment="1" applyFont="1">
      <alignment horizontal="left" readingOrder="0" vertical="center"/>
    </xf>
    <xf borderId="0" fillId="2" fontId="2" numFmtId="0" xfId="0" applyAlignment="1" applyFont="1">
      <alignment vertical="center"/>
    </xf>
    <xf borderId="0" fillId="2" fontId="3" numFmtId="0" xfId="0" applyAlignment="1" applyFont="1">
      <alignment vertical="center"/>
    </xf>
    <xf borderId="1" fillId="2" fontId="2" numFmtId="0" xfId="0" applyAlignment="1" applyBorder="1" applyFont="1">
      <alignment shrinkToFit="0" vertical="center" wrapText="0"/>
    </xf>
    <xf borderId="0" fillId="2" fontId="4" numFmtId="0" xfId="0" applyAlignment="1" applyFont="1">
      <alignment horizontal="left" readingOrder="0" vertical="top"/>
    </xf>
    <xf borderId="0" fillId="3" fontId="5" numFmtId="0" xfId="0" applyAlignment="1" applyFill="1" applyFont="1">
      <alignment vertical="bottom"/>
    </xf>
    <xf borderId="0" fillId="3" fontId="6" numFmtId="0" xfId="0" applyAlignment="1" applyFont="1">
      <alignment horizontal="left" readingOrder="0" shrinkToFit="0" vertical="bottom" wrapText="1"/>
    </xf>
    <xf borderId="0" fillId="3" fontId="7" numFmtId="0" xfId="0" applyAlignment="1" applyFont="1">
      <alignment horizontal="left"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left" vertical="bottom"/>
    </xf>
    <xf borderId="0" fillId="0" fontId="8" numFmtId="0" xfId="0" applyAlignment="1" applyFont="1">
      <alignment horizontal="left" readingOrder="0" vertical="bottom"/>
    </xf>
    <xf borderId="0" fillId="0" fontId="9" numFmtId="0" xfId="0" applyAlignment="1" applyFont="1">
      <alignment horizontal="left" readingOrder="0" vertical="bottom"/>
    </xf>
    <xf borderId="0" fillId="0" fontId="10" numFmtId="0" xfId="0" applyAlignment="1" applyFont="1">
      <alignment vertical="center"/>
    </xf>
    <xf borderId="2" fillId="0" fontId="11" numFmtId="0" xfId="0" applyAlignment="1" applyBorder="1" applyFont="1">
      <alignment horizontal="left" readingOrder="0" vertical="center"/>
    </xf>
    <xf borderId="2" fillId="0" fontId="12" numFmtId="0" xfId="0" applyBorder="1" applyFont="1"/>
    <xf borderId="2" fillId="0" fontId="11" numFmtId="0" xfId="0" applyAlignment="1" applyBorder="1" applyFont="1">
      <alignment horizontal="center" vertical="center"/>
    </xf>
    <xf borderId="0" fillId="0" fontId="11" numFmtId="0" xfId="0" applyAlignment="1" applyFont="1">
      <alignment horizontal="left" readingOrder="0" vertical="center"/>
    </xf>
    <xf borderId="0" fillId="0" fontId="13" numFmtId="0" xfId="0" applyAlignment="1" applyFont="1">
      <alignment horizontal="left" readingOrder="0" shrinkToFit="0" vertical="center" wrapText="0"/>
    </xf>
    <xf borderId="0" fillId="0" fontId="11" numFmtId="0" xfId="0" applyAlignment="1" applyFont="1">
      <alignment vertical="center"/>
    </xf>
    <xf borderId="0" fillId="0" fontId="5" numFmtId="0" xfId="0" applyAlignment="1" applyFont="1">
      <alignment vertical="center"/>
    </xf>
    <xf borderId="3" fillId="0" fontId="14" numFmtId="0" xfId="0" applyAlignment="1" applyBorder="1" applyFont="1">
      <alignment horizontal="center" vertical="center"/>
    </xf>
    <xf borderId="3" fillId="0" fontId="14" numFmtId="0" xfId="0" applyAlignment="1" applyBorder="1" applyFont="1">
      <alignment horizontal="center" readingOrder="0" vertical="center"/>
    </xf>
    <xf borderId="3" fillId="0" fontId="5" numFmtId="0" xfId="0" applyAlignment="1" applyBorder="1" applyFont="1">
      <alignment horizontal="center" vertical="center"/>
    </xf>
    <xf borderId="3" fillId="0" fontId="15" numFmtId="0" xfId="0" applyAlignment="1" applyBorder="1" applyFont="1">
      <alignment horizontal="left" readingOrder="0" vertical="center"/>
    </xf>
    <xf borderId="3" fillId="0" fontId="14" numFmtId="0" xfId="0" applyAlignment="1" applyBorder="1" applyFont="1">
      <alignment horizontal="left" readingOrder="0" vertical="center"/>
    </xf>
    <xf borderId="0" fillId="0" fontId="15" numFmtId="0" xfId="0" applyAlignment="1" applyFont="1">
      <alignment horizontal="left" readingOrder="0" vertical="center"/>
    </xf>
    <xf borderId="0" fillId="0" fontId="14" numFmtId="0" xfId="0" applyAlignment="1" applyFont="1">
      <alignment vertical="center"/>
    </xf>
    <xf borderId="0" fillId="4" fontId="14" numFmtId="0" xfId="0" applyAlignment="1" applyFill="1" applyFont="1">
      <alignment horizontal="center" readingOrder="0" vertical="center"/>
    </xf>
    <xf borderId="0" fillId="4" fontId="5" numFmtId="0" xfId="0" applyAlignment="1" applyFont="1">
      <alignment horizontal="center" vertical="center"/>
    </xf>
    <xf borderId="0" fillId="4" fontId="15" numFmtId="0" xfId="0" applyAlignment="1" applyFont="1">
      <alignment horizontal="left" readingOrder="0" vertical="center"/>
    </xf>
    <xf borderId="0" fillId="4" fontId="16" numFmtId="0" xfId="0" applyAlignment="1" applyFont="1">
      <alignment horizontal="left" readingOrder="0" vertical="center"/>
    </xf>
    <xf borderId="0" fillId="0" fontId="14" numFmtId="0" xfId="0" applyAlignment="1" applyFont="1">
      <alignment horizontal="left" readingOrder="0" vertical="center"/>
    </xf>
    <xf borderId="0" fillId="4" fontId="15" numFmtId="0" xfId="0" applyAlignment="1" applyFont="1">
      <alignment horizontal="center" readingOrder="0" vertical="center"/>
    </xf>
    <xf borderId="0" fillId="4" fontId="14" numFmtId="0" xfId="0" applyAlignment="1" applyFont="1">
      <alignment horizontal="left" readingOrder="0" vertical="center"/>
    </xf>
    <xf borderId="0" fillId="0" fontId="14" numFmtId="0" xfId="0" applyAlignment="1" applyFont="1">
      <alignment horizontal="center" vertical="center"/>
    </xf>
    <xf borderId="0" fillId="0" fontId="14" numFmtId="0" xfId="0" applyAlignment="1" applyFont="1">
      <alignment horizontal="center" readingOrder="0" vertical="center"/>
    </xf>
    <xf borderId="0" fillId="0" fontId="5" numFmtId="0" xfId="0" applyAlignment="1" applyFont="1">
      <alignment horizontal="center" vertical="center"/>
    </xf>
    <xf borderId="0" fillId="0" fontId="17" numFmtId="0" xfId="0" applyAlignment="1" applyFont="1">
      <alignment readingOrder="0" vertical="center"/>
    </xf>
    <xf borderId="3" fillId="0" fontId="5" numFmtId="0" xfId="0" applyAlignment="1" applyBorder="1" applyFont="1">
      <alignment vertical="center"/>
    </xf>
    <xf borderId="3" fillId="0" fontId="5" numFmtId="0" xfId="0" applyAlignment="1" applyBorder="1" applyFont="1">
      <alignment horizontal="left" vertical="center"/>
    </xf>
    <xf borderId="0" fillId="0" fontId="5" numFmtId="0" xfId="0" applyAlignment="1" applyFont="1">
      <alignment horizontal="left" vertical="center"/>
    </xf>
    <xf borderId="0" fillId="2" fontId="18" numFmtId="0" xfId="0" applyAlignment="1" applyFont="1">
      <alignment readingOrder="0" vertical="bottom"/>
    </xf>
    <xf borderId="0" fillId="2" fontId="19" numFmtId="0" xfId="0" applyAlignment="1" applyFont="1">
      <alignment horizontal="center" readingOrder="0" shrinkToFit="0" vertical="center" wrapText="1"/>
    </xf>
    <xf borderId="0" fillId="2" fontId="18" numFmtId="0" xfId="0" applyAlignment="1" applyFont="1">
      <alignment horizontal="left" readingOrder="0" vertical="bottom"/>
    </xf>
    <xf borderId="0" fillId="2" fontId="18" numFmtId="0" xfId="0" applyAlignment="1" applyFont="1">
      <alignment horizontal="right" readingOrder="0" vertical="top"/>
    </xf>
    <xf borderId="0" fillId="2" fontId="20" numFmtId="0" xfId="0" applyAlignment="1" applyFont="1">
      <alignment horizontal="center" readingOrder="0" shrinkToFit="0" vertical="center" wrapText="1"/>
    </xf>
    <xf borderId="0" fillId="0" fontId="21" numFmtId="0" xfId="0" applyAlignment="1" applyFont="1">
      <alignment horizontal="center" readingOrder="0" shrinkToFit="0" vertical="center" wrapText="0"/>
    </xf>
    <xf borderId="0" fillId="0" fontId="22" numFmtId="0" xfId="0" applyAlignment="1" applyFont="1">
      <alignment horizontal="right" readingOrder="0" shrinkToFit="0" vertical="center" wrapText="0"/>
    </xf>
    <xf borderId="0" fillId="0" fontId="23" numFmtId="3" xfId="0" applyAlignment="1" applyFont="1" applyNumberFormat="1">
      <alignment horizontal="center" readingOrder="0" shrinkToFit="0" vertical="bottom" wrapText="1"/>
    </xf>
    <xf borderId="0" fillId="5" fontId="21" numFmtId="0" xfId="0" applyAlignment="1" applyFill="1" applyFont="1">
      <alignment horizontal="center" readingOrder="0" shrinkToFit="0" vertical="center" wrapText="0"/>
    </xf>
    <xf borderId="0" fillId="5" fontId="22" numFmtId="0" xfId="0" applyAlignment="1" applyFont="1">
      <alignment horizontal="right" readingOrder="0" shrinkToFit="0" vertical="center" wrapText="0"/>
    </xf>
    <xf borderId="4" fillId="5" fontId="22" numFmtId="164" xfId="0" applyAlignment="1" applyBorder="1" applyFont="1" applyNumberFormat="1">
      <alignment horizontal="center" readingOrder="0" shrinkToFit="0" vertical="center" wrapText="1"/>
    </xf>
    <xf borderId="0" fillId="5" fontId="22" numFmtId="164" xfId="0" applyAlignment="1" applyFont="1" applyNumberFormat="1">
      <alignment horizontal="center" readingOrder="0" shrinkToFit="0" vertical="center" wrapText="1"/>
    </xf>
    <xf borderId="0" fillId="3" fontId="22" numFmtId="0" xfId="0" applyAlignment="1" applyFont="1">
      <alignment horizontal="center" readingOrder="0" shrinkToFit="0" vertical="center" wrapText="1"/>
    </xf>
    <xf borderId="5" fillId="5" fontId="22" numFmtId="164" xfId="0" applyAlignment="1" applyBorder="1" applyFont="1" applyNumberFormat="1">
      <alignment horizontal="center" readingOrder="0" shrinkToFit="0" vertical="center" wrapText="1"/>
    </xf>
    <xf borderId="0" fillId="3" fontId="22" numFmtId="0" xfId="0" applyAlignment="1" applyFont="1">
      <alignment horizontal="center" shrinkToFit="0" vertical="center" wrapText="1"/>
    </xf>
    <xf borderId="0" fillId="3" fontId="22" numFmtId="0" xfId="0" applyAlignment="1" applyFont="1">
      <alignment horizontal="center" readingOrder="0" shrinkToFit="0" textRotation="0" vertical="center" wrapText="1"/>
    </xf>
    <xf borderId="0" fillId="2" fontId="4" numFmtId="0" xfId="0" applyAlignment="1" applyFont="1">
      <alignment horizontal="center" readingOrder="0" vertical="center"/>
    </xf>
    <xf borderId="0" fillId="6" fontId="22" numFmtId="0" xfId="0" applyAlignment="1" applyFill="1" applyFont="1">
      <alignment horizontal="right" readingOrder="0" shrinkToFit="0" textRotation="90" vertical="center" wrapText="0"/>
    </xf>
    <xf borderId="0" fillId="0" fontId="22" numFmtId="0" xfId="0" applyAlignment="1" applyFont="1">
      <alignment horizontal="center" readingOrder="0" shrinkToFit="0" vertical="center" wrapText="1"/>
    </xf>
    <xf borderId="4" fillId="0" fontId="22" numFmtId="0" xfId="0" applyAlignment="1" applyBorder="1" applyFont="1">
      <alignment horizontal="center" readingOrder="0" shrinkToFit="0" vertical="center" wrapText="1"/>
    </xf>
    <xf borderId="5" fillId="0" fontId="22" numFmtId="0" xfId="0" applyAlignment="1" applyBorder="1" applyFont="1">
      <alignment horizontal="center" readingOrder="0" shrinkToFit="0" vertical="center" wrapText="1"/>
    </xf>
    <xf borderId="6" fillId="4" fontId="22" numFmtId="0" xfId="0" applyAlignment="1" applyBorder="1" applyFont="1">
      <alignment horizontal="center" readingOrder="0" shrinkToFit="0" vertical="center" wrapText="1"/>
    </xf>
    <xf borderId="7" fillId="4" fontId="22" numFmtId="0" xfId="0" applyAlignment="1" applyBorder="1" applyFont="1">
      <alignment horizontal="center" readingOrder="0" shrinkToFit="0" vertical="center" wrapText="1"/>
    </xf>
    <xf borderId="0" fillId="0" fontId="24" numFmtId="0" xfId="0" applyAlignment="1" applyFont="1">
      <alignment horizontal="left" vertical="top"/>
    </xf>
    <xf borderId="2" fillId="0" fontId="24" numFmtId="0" xfId="0" applyAlignment="1" applyBorder="1" applyFont="1">
      <alignment horizontal="left" vertical="top"/>
    </xf>
    <xf borderId="2" fillId="0" fontId="24" numFmtId="0" xfId="0" applyAlignment="1" applyBorder="1" applyFont="1">
      <alignment horizontal="left" readingOrder="0" shrinkToFit="0" vertical="top" wrapText="1"/>
    </xf>
    <xf borderId="2" fillId="0" fontId="24" numFmtId="0" xfId="0" applyAlignment="1" applyBorder="1" applyFont="1">
      <alignment horizontal="left" readingOrder="0" vertical="top"/>
    </xf>
    <xf borderId="0" fillId="0" fontId="24" numFmtId="0" xfId="0" applyAlignment="1" applyFont="1">
      <alignment horizontal="center" readingOrder="0" shrinkToFit="0" vertical="top" wrapText="1"/>
    </xf>
    <xf borderId="4" fillId="0" fontId="24" numFmtId="0" xfId="0" applyAlignment="1" applyBorder="1" applyFont="1">
      <alignment horizontal="center" readingOrder="0" shrinkToFit="0" vertical="top" wrapText="1"/>
    </xf>
    <xf borderId="0" fillId="3" fontId="24" numFmtId="0" xfId="0" applyAlignment="1" applyFont="1">
      <alignment horizontal="center" readingOrder="0" shrinkToFit="0" vertical="top" wrapText="1"/>
    </xf>
    <xf borderId="0" fillId="0" fontId="25" numFmtId="0" xfId="0" applyAlignment="1" applyFont="1">
      <alignment horizontal="center" shrinkToFit="0" vertical="top" wrapText="1"/>
    </xf>
    <xf borderId="8" fillId="0" fontId="24" numFmtId="0" xfId="0" applyAlignment="1" applyBorder="1" applyFont="1">
      <alignment horizontal="center" readingOrder="0" shrinkToFit="0" vertical="top" wrapText="1"/>
    </xf>
    <xf borderId="9" fillId="0" fontId="24" numFmtId="0" xfId="0" applyAlignment="1" applyBorder="1" applyFont="1">
      <alignment horizontal="center" readingOrder="0" shrinkToFit="0" vertical="top" wrapText="1"/>
    </xf>
    <xf borderId="0" fillId="0" fontId="26" numFmtId="0" xfId="0" applyAlignment="1" applyFont="1">
      <alignment vertical="top"/>
    </xf>
    <xf borderId="0" fillId="0" fontId="26" numFmtId="2" xfId="0" applyAlignment="1" applyFont="1" applyNumberFormat="1">
      <alignment readingOrder="0" shrinkToFit="0" vertical="top" wrapText="1"/>
    </xf>
    <xf borderId="0" fillId="0" fontId="26" numFmtId="0" xfId="0" applyAlignment="1" applyFont="1">
      <alignment horizontal="right" readingOrder="0" shrinkToFit="0" vertical="top" wrapText="0"/>
    </xf>
    <xf borderId="0" fillId="0" fontId="26" numFmtId="0" xfId="0" applyAlignment="1" applyFont="1">
      <alignment horizontal="left" vertical="top"/>
    </xf>
    <xf borderId="0" fillId="0" fontId="26" numFmtId="0" xfId="0" applyAlignment="1" applyFont="1">
      <alignment horizontal="center" readingOrder="0" vertical="top"/>
    </xf>
    <xf borderId="0" fillId="2" fontId="27" numFmtId="0" xfId="0" applyAlignment="1" applyFont="1">
      <alignment horizontal="left" readingOrder="0" vertical="center"/>
    </xf>
    <xf borderId="0" fillId="2" fontId="28" numFmtId="0" xfId="0" applyAlignment="1" applyFont="1">
      <alignment horizontal="left" readingOrder="0" shrinkToFit="0" vertical="center" wrapText="1"/>
    </xf>
    <xf borderId="0" fillId="2" fontId="28" numFmtId="0" xfId="0" applyAlignment="1" applyFont="1">
      <alignment horizontal="left" vertical="center"/>
    </xf>
    <xf borderId="0" fillId="2" fontId="28" numFmtId="165" xfId="0" applyAlignment="1" applyFont="1" applyNumberFormat="1">
      <alignment horizontal="left" vertical="center"/>
    </xf>
    <xf borderId="0" fillId="2" fontId="28" numFmtId="1" xfId="0" applyAlignment="1" applyFont="1" applyNumberFormat="1">
      <alignment horizontal="center" vertical="center"/>
    </xf>
    <xf borderId="0" fillId="2" fontId="28" numFmtId="1" xfId="0" applyAlignment="1" applyFont="1" applyNumberFormat="1">
      <alignment horizontal="center" readingOrder="0" vertical="center"/>
    </xf>
    <xf borderId="0" fillId="2" fontId="28" numFmtId="166" xfId="0" applyAlignment="1" applyFont="1" applyNumberFormat="1">
      <alignment horizontal="center" vertical="center"/>
    </xf>
    <xf borderId="0" fillId="0" fontId="29" numFmtId="1" xfId="0" applyFont="1" applyNumberFormat="1"/>
    <xf borderId="0" fillId="0" fontId="30" numFmtId="1" xfId="0" applyAlignment="1" applyFont="1" applyNumberFormat="1">
      <alignment readingOrder="0"/>
    </xf>
    <xf borderId="0" fillId="7" fontId="31" numFmtId="0" xfId="0" applyAlignment="1" applyFill="1" applyFont="1">
      <alignment vertical="bottom"/>
    </xf>
    <xf borderId="0" fillId="0" fontId="32" numFmtId="0" xfId="0" applyAlignment="1" applyFont="1">
      <alignment horizontal="left" vertical="center"/>
    </xf>
    <xf borderId="10" fillId="0" fontId="9" numFmtId="165" xfId="0" applyAlignment="1" applyBorder="1" applyFont="1" applyNumberFormat="1">
      <alignment horizontal="left" vertical="center"/>
    </xf>
    <xf borderId="0" fillId="0" fontId="33" numFmtId="0" xfId="0" applyAlignment="1" applyFont="1">
      <alignment horizontal="center" readingOrder="0" shrinkToFit="0" vertical="bottom" wrapText="0"/>
    </xf>
    <xf borderId="11" fillId="0" fontId="33" numFmtId="0" xfId="0" applyAlignment="1" applyBorder="1" applyFont="1">
      <alignment horizontal="center" readingOrder="0" shrinkToFit="0" vertical="bottom" wrapText="0"/>
    </xf>
    <xf borderId="11" fillId="3" fontId="14" numFmtId="0" xfId="0" applyAlignment="1" applyBorder="1" applyFont="1">
      <alignment horizontal="center" readingOrder="0" vertical="center"/>
    </xf>
    <xf borderId="11" fillId="3" fontId="34" numFmtId="0" xfId="0" applyAlignment="1" applyBorder="1" applyFont="1">
      <alignment horizontal="center"/>
    </xf>
    <xf borderId="6" fillId="0" fontId="34" numFmtId="0" xfId="0" applyAlignment="1" applyBorder="1" applyFont="1">
      <alignment horizontal="center" readingOrder="0"/>
    </xf>
    <xf borderId="7" fillId="0" fontId="34" numFmtId="0" xfId="0" applyAlignment="1" applyBorder="1" applyFont="1">
      <alignment horizontal="center" readingOrder="0"/>
    </xf>
    <xf borderId="0" fillId="0" fontId="31" numFmtId="0" xfId="0" applyAlignment="1" applyFont="1">
      <alignment vertical="bottom"/>
    </xf>
    <xf borderId="4" fillId="0" fontId="33" numFmtId="0" xfId="0" applyAlignment="1" applyBorder="1" applyFont="1">
      <alignment horizontal="center" readingOrder="0" shrinkToFit="0" vertical="bottom" wrapText="0"/>
    </xf>
    <xf borderId="4" fillId="3" fontId="14" numFmtId="0" xfId="0" applyAlignment="1" applyBorder="1" applyFont="1">
      <alignment horizontal="center" readingOrder="0" vertical="center"/>
    </xf>
    <xf borderId="4" fillId="3" fontId="34" numFmtId="0" xfId="0" applyAlignment="1" applyBorder="1" applyFont="1">
      <alignment horizontal="center"/>
    </xf>
    <xf borderId="5" fillId="0" fontId="34" numFmtId="0" xfId="0" applyAlignment="1" applyBorder="1" applyFont="1">
      <alignment horizontal="center" readingOrder="0"/>
    </xf>
    <xf borderId="12" fillId="0" fontId="34" numFmtId="0" xfId="0" applyAlignment="1" applyBorder="1" applyFont="1">
      <alignment horizontal="center" readingOrder="0"/>
    </xf>
    <xf borderId="0" fillId="0" fontId="17" numFmtId="0" xfId="0" applyAlignment="1" applyFont="1">
      <alignment vertical="center"/>
    </xf>
    <xf borderId="5" fillId="0" fontId="14" numFmtId="0" xfId="0" applyAlignment="1" applyBorder="1" applyFont="1">
      <alignment horizontal="center" readingOrder="0" vertical="center"/>
    </xf>
    <xf borderId="12" fillId="0" fontId="14" numFmtId="0" xfId="0" applyAlignment="1" applyBorder="1" applyFont="1">
      <alignment horizontal="center" readingOrder="0" vertical="center"/>
    </xf>
    <xf borderId="4" fillId="0" fontId="14" numFmtId="0" xfId="0" applyAlignment="1" applyBorder="1" applyFont="1">
      <alignment horizontal="center" readingOrder="0" vertical="center"/>
    </xf>
    <xf borderId="0" fillId="0" fontId="31" numFmtId="0" xfId="0" applyFont="1"/>
    <xf borderId="13" fillId="0" fontId="14" numFmtId="0" xfId="0" applyAlignment="1" applyBorder="1" applyFont="1">
      <alignment horizontal="center" readingOrder="0" vertical="center"/>
    </xf>
    <xf borderId="13" fillId="3" fontId="14" numFmtId="0" xfId="0" applyAlignment="1" applyBorder="1" applyFont="1">
      <alignment horizontal="center" readingOrder="0" vertical="center"/>
    </xf>
    <xf borderId="8" fillId="0" fontId="14" numFmtId="0" xfId="0" applyAlignment="1" applyBorder="1" applyFont="1">
      <alignment horizontal="center" readingOrder="0" vertical="center"/>
    </xf>
    <xf borderId="9" fillId="0" fontId="14" numFmtId="0" xfId="0" applyAlignment="1" applyBorder="1" applyFont="1">
      <alignment horizontal="center" readingOrder="0" vertical="center"/>
    </xf>
    <xf borderId="0" fillId="2" fontId="10" numFmtId="0" xfId="0" applyAlignment="1" applyFont="1">
      <alignment horizontal="left" vertical="bottom"/>
    </xf>
    <xf borderId="0" fillId="2" fontId="11" numFmtId="0" xfId="0" applyAlignment="1" applyFont="1">
      <alignment horizontal="left" vertical="bottom"/>
    </xf>
    <xf borderId="0" fillId="2" fontId="11" numFmtId="0" xfId="0" applyAlignment="1" applyFont="1">
      <alignment horizontal="left" shrinkToFit="0" vertical="bottom" wrapText="1"/>
    </xf>
    <xf borderId="0" fillId="2" fontId="11" numFmtId="165" xfId="0" applyAlignment="1" applyFont="1" applyNumberFormat="1">
      <alignment horizontal="left" vertical="bottom"/>
    </xf>
    <xf borderId="0" fillId="2" fontId="11" numFmtId="0" xfId="0" applyAlignment="1" applyFont="1">
      <alignment horizontal="center" vertical="bottom"/>
    </xf>
    <xf borderId="0" fillId="3" fontId="10" numFmtId="0" xfId="0" applyAlignment="1" applyFont="1">
      <alignment horizontal="left" vertical="bottom"/>
    </xf>
    <xf borderId="0" fillId="3" fontId="15" numFmtId="0" xfId="0" applyAlignment="1" applyFont="1">
      <alignment horizontal="right" readingOrder="0" vertical="bottom"/>
    </xf>
    <xf borderId="0" fillId="3" fontId="35" numFmtId="0" xfId="0" applyAlignment="1" applyFont="1">
      <alignment horizontal="center" vertical="center"/>
    </xf>
    <xf borderId="0" fillId="4" fontId="15" numFmtId="0" xfId="0" applyAlignment="1" applyFont="1">
      <alignment horizontal="right" readingOrder="0" vertical="bottom"/>
    </xf>
    <xf borderId="0" fillId="4" fontId="35" numFmtId="0" xfId="0" applyAlignment="1" applyFont="1">
      <alignment horizontal="center" vertical="center"/>
    </xf>
    <xf borderId="0" fillId="3" fontId="28" numFmtId="0" xfId="0" applyAlignment="1" applyFont="1">
      <alignment horizontal="left" readingOrder="0" vertical="bottom"/>
    </xf>
    <xf borderId="0" fillId="2" fontId="28" numFmtId="166" xfId="0" applyAlignment="1" applyFont="1" applyNumberFormat="1">
      <alignment horizontal="center" readingOrder="0" vertical="center"/>
    </xf>
    <xf borderId="0" fillId="0" fontId="22" numFmtId="0" xfId="0" applyAlignment="1" applyFont="1">
      <alignment horizontal="left" readingOrder="0" shrinkToFit="0" vertical="center" wrapText="0"/>
    </xf>
    <xf borderId="0" fillId="0" fontId="36" numFmtId="0" xfId="0" applyAlignment="1" applyFont="1">
      <alignment horizontal="center" readingOrder="0" shrinkToFit="0" vertical="center" wrapText="0"/>
    </xf>
    <xf borderId="0" fillId="3" fontId="22" numFmtId="0" xfId="0" applyAlignment="1" applyFont="1">
      <alignment horizontal="center" readingOrder="0" shrinkToFit="0" vertical="bottom" wrapText="1"/>
    </xf>
    <xf borderId="0" fillId="0" fontId="37" numFmtId="1" xfId="0" applyAlignment="1" applyFont="1" applyNumberFormat="1">
      <alignment readingOrder="0" vertical="center"/>
    </xf>
    <xf borderId="0" fillId="0" fontId="31" numFmtId="0" xfId="0" applyAlignment="1" applyFont="1">
      <alignment vertical="center"/>
    </xf>
    <xf borderId="0" fillId="0" fontId="38" numFmtId="0" xfId="0" applyAlignment="1" applyFont="1">
      <alignment horizontal="center" readingOrder="0" shrinkToFit="0" vertical="center" wrapText="0"/>
    </xf>
    <xf borderId="11" fillId="0" fontId="38" numFmtId="0" xfId="0" applyAlignment="1" applyBorder="1" applyFont="1">
      <alignment horizontal="center" readingOrder="0" shrinkToFit="0" vertical="center" wrapText="0"/>
    </xf>
    <xf borderId="11" fillId="0" fontId="38" numFmtId="2" xfId="0" applyAlignment="1" applyBorder="1" applyFont="1" applyNumberFormat="1">
      <alignment horizontal="center" readingOrder="0" shrinkToFit="0" vertical="center" wrapText="0"/>
    </xf>
    <xf borderId="4" fillId="0" fontId="38" numFmtId="0" xfId="0" applyAlignment="1" applyBorder="1" applyFont="1">
      <alignment horizontal="center" readingOrder="0" shrinkToFit="0" vertical="center" wrapText="0"/>
    </xf>
    <xf borderId="4" fillId="0" fontId="38" numFmtId="2" xfId="0" applyAlignment="1" applyBorder="1" applyFont="1" applyNumberFormat="1">
      <alignment horizontal="center" readingOrder="0" shrinkToFit="0" vertical="center" wrapText="0"/>
    </xf>
    <xf borderId="0" fillId="0" fontId="35" numFmtId="0" xfId="0" applyAlignment="1" applyFont="1">
      <alignment horizontal="center" readingOrder="0" vertical="center"/>
    </xf>
    <xf borderId="4" fillId="0" fontId="35" numFmtId="0" xfId="0" applyAlignment="1" applyBorder="1" applyFont="1">
      <alignment horizontal="center" readingOrder="0" vertical="center"/>
    </xf>
    <xf borderId="4" fillId="0" fontId="35" numFmtId="2" xfId="0" applyAlignment="1" applyBorder="1" applyFont="1" applyNumberFormat="1">
      <alignment horizontal="center" readingOrder="0" vertical="center"/>
    </xf>
    <xf borderId="13" fillId="0" fontId="35" numFmtId="0" xfId="0" applyAlignment="1" applyBorder="1" applyFont="1">
      <alignment horizontal="center" readingOrder="0" vertical="center"/>
    </xf>
    <xf borderId="13" fillId="0" fontId="35" numFmtId="2" xfId="0" applyAlignment="1" applyBorder="1" applyFont="1" applyNumberFormat="1">
      <alignment horizontal="center" readingOrder="0" vertical="center"/>
    </xf>
    <xf borderId="0" fillId="2" fontId="11" numFmtId="0" xfId="0" applyAlignment="1" applyFont="1">
      <alignment horizontal="left" readingOrder="0" vertical="bottom"/>
    </xf>
    <xf borderId="0" fillId="2" fontId="10" numFmtId="0" xfId="0" applyAlignment="1" applyFont="1">
      <alignment horizontal="left" shrinkToFit="0" vertical="bottom" wrapText="1"/>
    </xf>
    <xf borderId="0" fillId="2" fontId="10" numFmtId="165" xfId="0" applyAlignment="1" applyFont="1" applyNumberFormat="1">
      <alignment horizontal="left" vertical="bottom"/>
    </xf>
    <xf borderId="0" fillId="2" fontId="10" numFmtId="0" xfId="0" applyAlignment="1" applyFont="1">
      <alignment vertical="bottom"/>
    </xf>
    <xf borderId="0" fillId="0" fontId="39" numFmtId="0" xfId="0" applyAlignment="1" applyFont="1">
      <alignment vertical="bottom"/>
    </xf>
    <xf borderId="0" fillId="0" fontId="39" numFmtId="1" xfId="0" applyAlignment="1" applyFont="1" applyNumberFormat="1">
      <alignment vertical="bottom"/>
    </xf>
    <xf borderId="0" fillId="0" fontId="39" numFmtId="166" xfId="0" applyAlignment="1" applyFont="1" applyNumberFormat="1">
      <alignment horizontal="right" vertical="bottom"/>
    </xf>
    <xf borderId="0" fillId="0" fontId="39" numFmtId="0" xfId="0" applyAlignment="1" applyFont="1">
      <alignment horizontal="right" vertical="bottom"/>
    </xf>
  </cellXfs>
  <cellStyles count="1">
    <cellStyle xfId="0" name="Normal" builtinId="0"/>
  </cellStyles>
  <dxfs count="2">
    <dxf>
      <font/>
      <fill>
        <patternFill patternType="solid">
          <fgColor rgb="FFF9F9F9"/>
          <bgColor rgb="FFF9F9F9"/>
        </patternFill>
      </fill>
      <border/>
    </dxf>
    <dxf>
      <font>
        <color rgb="FFFF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8542"/>
          <c:y val="0.1295"/>
          <c:w val="0.85208"/>
          <c:h val="0.7554000000000001"/>
        </c:manualLayout>
      </c:layout>
      <c:barChart>
        <c:barDir val="col"/>
        <c:ser>
          <c:idx val="0"/>
          <c:order val="0"/>
          <c:spPr>
            <a:solidFill>
              <a:srgbClr val="A64D79"/>
            </a:solidFill>
            <a:ln cmpd="sng">
              <a:solidFill>
                <a:srgbClr val="000000"/>
              </a:solidFill>
            </a:ln>
          </c:spPr>
          <c:cat>
            <c:strRef>
              <c:f>General!$F$8:$F$17</c:f>
            </c:strRef>
          </c:cat>
          <c:val>
            <c:numRef>
              <c:f>General!$G$8:$G$17</c:f>
              <c:numCache/>
            </c:numRef>
          </c:val>
        </c:ser>
        <c:axId val="2014954890"/>
        <c:axId val="1074002342"/>
      </c:barChart>
      <c:catAx>
        <c:axId val="20149548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Tahoma"/>
                  </a:defRPr>
                </a:pPr>
                <a:r>
                  <a:rPr b="0">
                    <a:solidFill>
                      <a:srgbClr val="000000"/>
                    </a:solidFill>
                    <a:latin typeface="Tahoma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Tahoma"/>
              </a:defRPr>
            </a:pPr>
          </a:p>
        </c:txPr>
        <c:crossAx val="1074002342"/>
      </c:catAx>
      <c:valAx>
        <c:axId val="1074002342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200">
                    <a:solidFill>
                      <a:srgbClr val="000000"/>
                    </a:solidFill>
                    <a:latin typeface="Tahoma"/>
                  </a:defRPr>
                </a:pPr>
                <a:r>
                  <a:rPr b="0" sz="1200">
                    <a:solidFill>
                      <a:srgbClr val="000000"/>
                    </a:solidFill>
                    <a:latin typeface="Tahoma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200">
                <a:solidFill>
                  <a:srgbClr val="000000"/>
                </a:solidFill>
                <a:latin typeface="Tahoma"/>
              </a:defRPr>
            </a:pPr>
          </a:p>
        </c:txPr>
        <c:crossAx val="2014954890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1er TRIM, 2do TRIM y 3er TRIM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Dim!$B$1</c:f>
            </c:strRef>
          </c:tx>
          <c:cat>
            <c:strRef>
              <c:f>Dim!$A$2:$A$5</c:f>
            </c:strRef>
          </c:cat>
          <c:val>
            <c:numRef>
              <c:f>Dim!$B$2:$B$5</c:f>
              <c:numCache/>
            </c:numRef>
          </c:val>
        </c:ser>
        <c:ser>
          <c:idx val="1"/>
          <c:order val="1"/>
          <c:tx>
            <c:strRef>
              <c:f>Dim!$C$1</c:f>
            </c:strRef>
          </c:tx>
          <c:cat>
            <c:strRef>
              <c:f>Dim!$A$2:$A$5</c:f>
            </c:strRef>
          </c:cat>
          <c:val>
            <c:numRef>
              <c:f>Dim!$C$2:$C$5</c:f>
              <c:numCache/>
            </c:numRef>
          </c:val>
        </c:ser>
        <c:ser>
          <c:idx val="2"/>
          <c:order val="2"/>
          <c:tx>
            <c:strRef>
              <c:f>Dim!$D$1</c:f>
            </c:strRef>
          </c:tx>
          <c:cat>
            <c:strRef>
              <c:f>Dim!$A$2:$A$5</c:f>
            </c:strRef>
          </c:cat>
          <c:val>
            <c:numRef>
              <c:f>Dim!$D$2:$D$5</c:f>
              <c:numCache/>
            </c:numRef>
          </c:val>
        </c:ser>
        <c:axId val="955030571"/>
        <c:axId val="1833456645"/>
      </c:barChart>
      <c:catAx>
        <c:axId val="9550305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833456645"/>
      </c:catAx>
      <c:valAx>
        <c:axId val="1833456645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95503057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5</xdr:row>
      <xdr:rowOff>295275</xdr:rowOff>
    </xdr:from>
    <xdr:ext cx="3819525" cy="24765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14</xdr:col>
      <xdr:colOff>0</xdr:colOff>
      <xdr:row>5</xdr:row>
      <xdr:rowOff>295275</xdr:rowOff>
    </xdr:from>
    <xdr:ext cx="4619625" cy="24669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4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75"/>
  <cols>
    <col customWidth="1" min="1" max="1" width="4.14"/>
    <col customWidth="1" min="2" max="2" width="8.0"/>
    <col customWidth="1" min="3" max="3" width="1.29"/>
    <col customWidth="1" min="4" max="4" width="8.14"/>
    <col customWidth="1" min="5" max="5" width="2.43"/>
    <col customWidth="1" min="6" max="6" width="7.71"/>
    <col customWidth="1" min="7" max="7" width="13.86"/>
    <col customWidth="1" min="8" max="8" width="5.86"/>
    <col customWidth="1" min="9" max="9" width="11.57"/>
    <col customWidth="1" min="10" max="10" width="9.86"/>
    <col customWidth="1" min="11" max="11" width="14.14"/>
    <col customWidth="1" min="12" max="13" width="11.57"/>
    <col customWidth="1" min="14" max="14" width="5.86"/>
    <col customWidth="1" min="15" max="16" width="11.57"/>
    <col customWidth="1" min="17" max="17" width="7.14"/>
    <col customWidth="1" min="18" max="18" width="17.0"/>
    <col customWidth="1" min="19" max="20" width="11.57"/>
    <col customWidth="1" min="21" max="21" width="4.14"/>
  </cols>
  <sheetData>
    <row r="1" ht="36.0" customHeight="1">
      <c r="A1" s="1"/>
      <c r="B1" s="2"/>
      <c r="C1" s="2"/>
      <c r="D1" s="2"/>
      <c r="E1" s="2"/>
      <c r="F1" s="2"/>
      <c r="G1" s="2"/>
      <c r="H1" s="2"/>
      <c r="I1" s="2"/>
      <c r="J1" s="3" t="s">
        <v>0</v>
      </c>
      <c r="K1" s="3"/>
      <c r="L1" s="3"/>
      <c r="M1" s="3"/>
      <c r="N1" s="4"/>
      <c r="O1" s="4"/>
      <c r="P1" s="5" t="s">
        <v>1</v>
      </c>
      <c r="Q1" s="2"/>
      <c r="R1" s="2" t="s">
        <v>2</v>
      </c>
      <c r="S1" s="2"/>
      <c r="T1" s="2"/>
      <c r="U1" s="2"/>
    </row>
    <row r="2" ht="36.0" customHeight="1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</row>
    <row r="3" ht="3.0" customHeight="1">
      <c r="A3" s="7"/>
      <c r="B3" s="8" t="s">
        <v>3</v>
      </c>
      <c r="N3" s="9"/>
      <c r="O3" s="9"/>
      <c r="P3" s="9"/>
      <c r="Q3" s="9"/>
      <c r="R3" s="9"/>
      <c r="S3" s="9"/>
      <c r="T3" s="9"/>
      <c r="U3" s="7"/>
    </row>
    <row r="4" ht="27.0" customHeight="1">
      <c r="A4" s="10"/>
      <c r="B4" s="10"/>
      <c r="C4" s="10"/>
      <c r="D4" s="11"/>
      <c r="E4" s="11"/>
      <c r="F4" s="12"/>
      <c r="G4" s="12"/>
      <c r="H4" s="12"/>
      <c r="I4" s="12"/>
      <c r="J4" s="12"/>
      <c r="K4" s="12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ht="17.25" customHeight="1">
      <c r="A5" s="13"/>
      <c r="B5" s="14" t="s">
        <v>4</v>
      </c>
      <c r="H5" s="14"/>
      <c r="I5" s="14" t="s">
        <v>5</v>
      </c>
      <c r="L5" s="14"/>
      <c r="M5" s="14"/>
      <c r="N5" s="14"/>
      <c r="O5" s="14" t="s">
        <v>6</v>
      </c>
      <c r="U5" s="13"/>
    </row>
    <row r="6" ht="24.0" customHeight="1">
      <c r="A6" s="15"/>
      <c r="B6" s="16" t="s">
        <v>7</v>
      </c>
      <c r="C6" s="17"/>
      <c r="D6" s="17"/>
      <c r="E6" s="18"/>
      <c r="F6" s="16" t="s">
        <v>8</v>
      </c>
      <c r="G6" s="16" t="s">
        <v>9</v>
      </c>
      <c r="H6" s="19"/>
      <c r="I6" s="20" t="s">
        <v>10</v>
      </c>
      <c r="L6" s="21"/>
      <c r="M6" s="21"/>
      <c r="N6" s="21"/>
      <c r="O6" s="20" t="s">
        <v>11</v>
      </c>
      <c r="Q6" s="21"/>
      <c r="R6" s="15"/>
      <c r="S6" s="15"/>
      <c r="T6" s="15"/>
      <c r="U6" s="15"/>
    </row>
    <row r="7" ht="19.5" hidden="1" customHeight="1">
      <c r="A7" s="22"/>
      <c r="B7" s="23"/>
      <c r="C7" s="24"/>
      <c r="D7" s="24">
        <v>10000.0</v>
      </c>
      <c r="E7" s="25"/>
      <c r="F7" s="26" t="str">
        <f>indirect("Overview!F8",TRUE)</f>
        <v>#REF!</v>
      </c>
      <c r="G7" s="27">
        <f>countif(StudentGrades,$F7)</f>
        <v>0</v>
      </c>
      <c r="H7" s="28"/>
      <c r="I7" s="28"/>
      <c r="J7" s="28"/>
      <c r="K7" s="28"/>
      <c r="L7" s="29"/>
      <c r="M7" s="29"/>
      <c r="N7" s="29"/>
      <c r="O7" s="29"/>
      <c r="P7" s="29"/>
      <c r="Q7" s="29"/>
      <c r="R7" s="29"/>
      <c r="S7" s="29"/>
      <c r="T7" s="29"/>
      <c r="U7" s="22"/>
    </row>
    <row r="8" ht="19.5" customHeight="1">
      <c r="A8" s="22"/>
      <c r="B8" s="30">
        <v>85.0</v>
      </c>
      <c r="C8" s="30" t="s">
        <v>12</v>
      </c>
      <c r="D8" s="30">
        <v>100.0</v>
      </c>
      <c r="E8" s="31"/>
      <c r="F8" s="32" t="s">
        <v>13</v>
      </c>
      <c r="G8" s="33">
        <f>COUNTIF('1erTRIM'!D8:D37,$F8)</f>
        <v>0</v>
      </c>
      <c r="H8" s="34"/>
      <c r="I8" s="34"/>
      <c r="J8" s="34"/>
      <c r="K8" s="34"/>
      <c r="L8" s="29"/>
      <c r="M8" s="29"/>
      <c r="N8" s="29"/>
      <c r="O8" s="29"/>
      <c r="P8" s="29"/>
      <c r="Q8" s="29"/>
      <c r="R8" s="29"/>
      <c r="S8" s="29"/>
      <c r="T8" s="29"/>
      <c r="U8" s="22"/>
    </row>
    <row r="9" ht="19.5" customHeight="1">
      <c r="A9" s="22"/>
      <c r="B9" s="30">
        <v>68.0</v>
      </c>
      <c r="C9" s="30" t="s">
        <v>12</v>
      </c>
      <c r="D9" s="30">
        <v>84.0</v>
      </c>
      <c r="E9" s="31"/>
      <c r="F9" s="32" t="s">
        <v>14</v>
      </c>
      <c r="G9" s="33">
        <f>countif(StudentGrades,$F9)</f>
        <v>0</v>
      </c>
      <c r="H9" s="34"/>
      <c r="I9" s="34"/>
      <c r="J9" s="34"/>
      <c r="K9" s="34"/>
      <c r="L9" s="29"/>
      <c r="M9" s="29"/>
      <c r="N9" s="29"/>
      <c r="O9" s="29"/>
      <c r="P9" s="29"/>
      <c r="Q9" s="29"/>
      <c r="R9" s="29"/>
      <c r="S9" s="29"/>
      <c r="T9" s="29"/>
      <c r="U9" s="22"/>
    </row>
    <row r="10" ht="19.5" customHeight="1">
      <c r="A10" s="22"/>
      <c r="B10" s="30">
        <v>51.0</v>
      </c>
      <c r="C10" s="30" t="s">
        <v>12</v>
      </c>
      <c r="D10" s="30">
        <v>67.0</v>
      </c>
      <c r="E10" s="31"/>
      <c r="F10" s="32" t="s">
        <v>15</v>
      </c>
      <c r="G10" s="33">
        <f>countif(StudentGrades,$F10)</f>
        <v>0</v>
      </c>
      <c r="H10" s="34"/>
      <c r="I10" s="34"/>
      <c r="J10" s="34"/>
      <c r="K10" s="34"/>
      <c r="L10" s="29"/>
      <c r="M10" s="29"/>
      <c r="N10" s="29"/>
      <c r="O10" s="29"/>
      <c r="P10" s="29"/>
      <c r="Q10" s="29"/>
      <c r="R10" s="29"/>
      <c r="S10" s="29"/>
      <c r="T10" s="29"/>
      <c r="U10" s="22"/>
    </row>
    <row r="11" ht="19.5" customHeight="1">
      <c r="A11" s="22"/>
      <c r="B11" s="30">
        <v>20.0</v>
      </c>
      <c r="C11" s="30" t="s">
        <v>12</v>
      </c>
      <c r="D11" s="30">
        <v>50.0</v>
      </c>
      <c r="E11" s="31"/>
      <c r="F11" s="32" t="s">
        <v>16</v>
      </c>
      <c r="G11" s="33">
        <f>countif(StudentGrades,$F11)</f>
        <v>0</v>
      </c>
      <c r="H11" s="34"/>
      <c r="I11" s="34"/>
      <c r="J11" s="34"/>
      <c r="K11" s="34"/>
      <c r="L11" s="29"/>
      <c r="M11" s="29"/>
      <c r="N11" s="29"/>
      <c r="O11" s="29"/>
      <c r="P11" s="29"/>
      <c r="Q11" s="29"/>
      <c r="R11" s="29"/>
      <c r="S11" s="29"/>
      <c r="T11" s="29"/>
      <c r="U11" s="22"/>
    </row>
    <row r="12" ht="19.5" customHeight="1">
      <c r="A12" s="22"/>
      <c r="B12" s="30"/>
      <c r="C12" s="30"/>
      <c r="D12" s="30"/>
      <c r="E12" s="31"/>
      <c r="F12" s="32"/>
      <c r="G12" s="33"/>
      <c r="H12" s="34"/>
      <c r="I12" s="34"/>
      <c r="J12" s="34"/>
      <c r="K12" s="34"/>
      <c r="L12" s="29"/>
      <c r="M12" s="29"/>
      <c r="N12" s="29"/>
      <c r="O12" s="29"/>
      <c r="P12" s="29"/>
      <c r="Q12" s="29"/>
      <c r="R12" s="29"/>
      <c r="S12" s="29"/>
      <c r="T12" s="29"/>
      <c r="U12" s="22"/>
    </row>
    <row r="13" ht="19.5" customHeight="1">
      <c r="A13" s="22"/>
      <c r="B13" s="35" t="s">
        <v>13</v>
      </c>
      <c r="C13" s="36" t="s">
        <v>17</v>
      </c>
      <c r="H13" s="34"/>
      <c r="I13" s="34"/>
      <c r="J13" s="34"/>
      <c r="K13" s="34"/>
      <c r="L13" s="29"/>
      <c r="M13" s="29"/>
      <c r="N13" s="29"/>
      <c r="O13" s="29"/>
      <c r="P13" s="29"/>
      <c r="Q13" s="29"/>
      <c r="R13" s="29"/>
      <c r="S13" s="29"/>
      <c r="T13" s="29"/>
      <c r="U13" s="22"/>
    </row>
    <row r="14" ht="19.5" customHeight="1">
      <c r="A14" s="22"/>
      <c r="B14" s="35" t="s">
        <v>14</v>
      </c>
      <c r="C14" s="36" t="s">
        <v>18</v>
      </c>
      <c r="H14" s="34"/>
      <c r="I14" s="34"/>
      <c r="J14" s="34"/>
      <c r="K14" s="34"/>
      <c r="L14" s="29"/>
      <c r="M14" s="29"/>
      <c r="N14" s="29"/>
      <c r="O14" s="29"/>
      <c r="P14" s="29"/>
      <c r="Q14" s="29"/>
      <c r="R14" s="29"/>
      <c r="S14" s="29"/>
      <c r="T14" s="29"/>
      <c r="U14" s="22"/>
    </row>
    <row r="15" ht="19.5" customHeight="1">
      <c r="A15" s="22"/>
      <c r="B15" s="35" t="s">
        <v>15</v>
      </c>
      <c r="C15" s="36" t="s">
        <v>19</v>
      </c>
      <c r="H15" s="34"/>
      <c r="I15" s="34"/>
      <c r="J15" s="34"/>
      <c r="K15" s="34"/>
      <c r="L15" s="22"/>
      <c r="M15" s="22"/>
      <c r="N15" s="22"/>
      <c r="O15" s="22"/>
      <c r="P15" s="22"/>
      <c r="Q15" s="22"/>
      <c r="R15" s="22"/>
      <c r="S15" s="22"/>
      <c r="T15" s="22"/>
      <c r="U15" s="22"/>
    </row>
    <row r="16" ht="19.5" customHeight="1">
      <c r="A16" s="22"/>
      <c r="B16" s="35" t="s">
        <v>16</v>
      </c>
      <c r="C16" s="36" t="s">
        <v>20</v>
      </c>
      <c r="H16" s="34"/>
      <c r="I16" s="34"/>
      <c r="J16" s="34"/>
      <c r="K16" s="34"/>
      <c r="L16" s="22"/>
      <c r="M16" s="22"/>
      <c r="N16" s="22"/>
      <c r="O16" s="22"/>
      <c r="P16" s="22"/>
      <c r="Q16" s="22"/>
      <c r="R16" s="22"/>
      <c r="S16" s="22"/>
      <c r="T16" s="22"/>
      <c r="U16" s="22"/>
    </row>
    <row r="17" ht="19.5" customHeight="1">
      <c r="A17" s="22"/>
      <c r="B17" s="30"/>
      <c r="C17" s="30"/>
      <c r="D17" s="30"/>
      <c r="E17" s="31"/>
      <c r="F17" s="32"/>
      <c r="G17" s="33"/>
      <c r="H17" s="34"/>
      <c r="I17" s="34"/>
      <c r="J17" s="34"/>
      <c r="K17" s="34"/>
      <c r="L17" s="22"/>
      <c r="M17" s="22"/>
      <c r="N17" s="22"/>
      <c r="O17" s="22"/>
      <c r="P17" s="22"/>
      <c r="Q17" s="22"/>
      <c r="R17" s="22"/>
      <c r="S17" s="22"/>
      <c r="T17" s="22"/>
      <c r="U17" s="22"/>
    </row>
    <row r="18" ht="19.5" hidden="1" customHeight="1">
      <c r="A18" s="22"/>
      <c r="B18" s="37"/>
      <c r="C18" s="38"/>
      <c r="D18" s="38">
        <v>0.0</v>
      </c>
      <c r="E18" s="39"/>
      <c r="F18" s="28"/>
      <c r="G18" s="34"/>
      <c r="H18" s="34"/>
      <c r="I18" s="34"/>
      <c r="J18" s="34"/>
      <c r="K18" s="34"/>
      <c r="L18" s="22"/>
      <c r="M18" s="22"/>
      <c r="N18" s="22"/>
      <c r="O18" s="22"/>
      <c r="P18" s="22"/>
      <c r="Q18" s="22"/>
      <c r="R18" s="22"/>
      <c r="S18" s="22"/>
      <c r="T18" s="22"/>
      <c r="U18" s="22"/>
    </row>
    <row r="19" ht="30.0" customHeight="1">
      <c r="A19" s="40">
        <v>0.0</v>
      </c>
      <c r="B19" s="41"/>
      <c r="C19" s="41"/>
      <c r="D19" s="25"/>
      <c r="E19" s="25"/>
      <c r="F19" s="42"/>
      <c r="G19" s="42"/>
      <c r="H19" s="43"/>
      <c r="I19" s="43"/>
      <c r="J19" s="43"/>
      <c r="K19" s="43"/>
      <c r="L19" s="22"/>
      <c r="M19" s="22"/>
      <c r="N19" s="22"/>
      <c r="O19" s="22"/>
      <c r="P19" s="22"/>
      <c r="Q19" s="22"/>
      <c r="R19" s="22"/>
      <c r="S19" s="22"/>
      <c r="T19" s="22"/>
      <c r="U19" s="40"/>
    </row>
  </sheetData>
  <mergeCells count="11">
    <mergeCell ref="C13:G13"/>
    <mergeCell ref="C14:G14"/>
    <mergeCell ref="C15:G15"/>
    <mergeCell ref="C16:G16"/>
    <mergeCell ref="B3:M3"/>
    <mergeCell ref="B5:G5"/>
    <mergeCell ref="I5:K5"/>
    <mergeCell ref="O5:T5"/>
    <mergeCell ref="B6:D6"/>
    <mergeCell ref="I6:K6"/>
    <mergeCell ref="O6:P6"/>
  </mergeCells>
  <conditionalFormatting sqref="B7:G18">
    <cfRule type="expression" dxfId="0" priority="1">
      <formula>isodd(row(B7))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5.0" ySplit="5.0" topLeftCell="F6" activePane="bottomRight" state="frozen"/>
      <selection activeCell="F1" sqref="F1" pane="topRight"/>
      <selection activeCell="A6" sqref="A6" pane="bottomLeft"/>
      <selection activeCell="F6" sqref="F6" pane="bottomRight"/>
    </sheetView>
  </sheetViews>
  <sheetFormatPr customHeight="1" defaultColWidth="14.43" defaultRowHeight="15.75"/>
  <cols>
    <col customWidth="1" min="1" max="1" width="0.43"/>
    <col customWidth="1" min="2" max="2" width="3.86"/>
    <col customWidth="1" min="3" max="3" width="38.43"/>
    <col customWidth="1" min="4" max="4" width="6.57"/>
    <col customWidth="1" min="5" max="5" width="8.14"/>
    <col customWidth="1" min="6" max="39" width="11.43"/>
    <col customWidth="1" min="40" max="41" width="10.71"/>
    <col customWidth="1" min="42" max="42" width="11.43"/>
  </cols>
  <sheetData>
    <row r="1" ht="28.5" customHeight="1">
      <c r="A1" s="44"/>
      <c r="B1" s="44"/>
      <c r="C1" s="45" t="s">
        <v>21</v>
      </c>
      <c r="D1" s="46"/>
      <c r="E1" s="47"/>
      <c r="F1" s="45" t="s">
        <v>22</v>
      </c>
      <c r="L1" s="45" t="s">
        <v>23</v>
      </c>
      <c r="W1" s="45" t="s">
        <v>24</v>
      </c>
      <c r="AH1" s="45" t="s">
        <v>25</v>
      </c>
      <c r="AN1" s="48" t="s">
        <v>26</v>
      </c>
      <c r="AP1" s="48" t="s">
        <v>27</v>
      </c>
    </row>
    <row r="2" ht="1.5" customHeight="1">
      <c r="A2" s="49"/>
      <c r="B2" s="49"/>
      <c r="C2" s="49"/>
      <c r="D2" s="50"/>
      <c r="E2" s="50"/>
      <c r="F2" s="51">
        <f t="shared" ref="F2:J2" si="1">IF(COUNT(F8:F37)=0,IF(F4="",0,1),IF(F4="",1,0))</f>
        <v>0</v>
      </c>
      <c r="G2" s="51">
        <f t="shared" si="1"/>
        <v>0</v>
      </c>
      <c r="H2" s="51">
        <f t="shared" si="1"/>
        <v>0</v>
      </c>
      <c r="I2" s="51">
        <f t="shared" si="1"/>
        <v>0</v>
      </c>
      <c r="J2" s="51">
        <f t="shared" si="1"/>
        <v>0</v>
      </c>
      <c r="K2" s="51"/>
      <c r="L2" s="51">
        <f t="shared" ref="L2:U2" si="2">IF(COUNT(L8:L37)=0,IF(L4="",0,1),IF(L4="",1,0))</f>
        <v>0</v>
      </c>
      <c r="M2" s="51">
        <f t="shared" si="2"/>
        <v>0</v>
      </c>
      <c r="N2" s="51">
        <f t="shared" si="2"/>
        <v>0</v>
      </c>
      <c r="O2" s="51">
        <f t="shared" si="2"/>
        <v>0</v>
      </c>
      <c r="P2" s="51">
        <f t="shared" si="2"/>
        <v>0</v>
      </c>
      <c r="Q2" s="51">
        <f t="shared" si="2"/>
        <v>0</v>
      </c>
      <c r="R2" s="51">
        <f t="shared" si="2"/>
        <v>0</v>
      </c>
      <c r="S2" s="51">
        <f t="shared" si="2"/>
        <v>0</v>
      </c>
      <c r="T2" s="51">
        <f t="shared" si="2"/>
        <v>0</v>
      </c>
      <c r="U2" s="51">
        <f t="shared" si="2"/>
        <v>0</v>
      </c>
      <c r="V2" s="51"/>
      <c r="W2" s="51">
        <f t="shared" ref="W2:AF2" si="3">IF(COUNT(W8:W37)=0,IF(W4="",0,1),IF(W4="",1,0))</f>
        <v>0</v>
      </c>
      <c r="X2" s="51">
        <f t="shared" si="3"/>
        <v>0</v>
      </c>
      <c r="Y2" s="51">
        <f t="shared" si="3"/>
        <v>0</v>
      </c>
      <c r="Z2" s="51">
        <f t="shared" si="3"/>
        <v>0</v>
      </c>
      <c r="AA2" s="51">
        <f t="shared" si="3"/>
        <v>0</v>
      </c>
      <c r="AB2" s="51">
        <f t="shared" si="3"/>
        <v>0</v>
      </c>
      <c r="AC2" s="51">
        <f t="shared" si="3"/>
        <v>0</v>
      </c>
      <c r="AD2" s="51">
        <f t="shared" si="3"/>
        <v>0</v>
      </c>
      <c r="AE2" s="51">
        <f t="shared" si="3"/>
        <v>0</v>
      </c>
      <c r="AF2" s="51">
        <f t="shared" si="3"/>
        <v>0</v>
      </c>
      <c r="AG2" s="51"/>
      <c r="AH2" s="51">
        <f t="shared" ref="AH2:AL2" si="4">IF(COUNT(AH8:AH37)=0,IF(AH4="",0,1),IF(AH4="",1,0))</f>
        <v>0</v>
      </c>
      <c r="AI2" s="51">
        <f t="shared" si="4"/>
        <v>0</v>
      </c>
      <c r="AJ2" s="51">
        <f t="shared" si="4"/>
        <v>0</v>
      </c>
      <c r="AK2" s="51">
        <f t="shared" si="4"/>
        <v>0</v>
      </c>
      <c r="AL2" s="51">
        <f t="shared" si="4"/>
        <v>0</v>
      </c>
      <c r="AM2" s="51"/>
      <c r="AN2" s="51"/>
      <c r="AO2" s="51"/>
      <c r="AP2" s="51"/>
    </row>
    <row r="3" ht="15.75" customHeight="1">
      <c r="A3" s="49"/>
      <c r="B3" s="52" t="str">
        <f>General!B1</f>
        <v/>
      </c>
      <c r="E3" s="53" t="s">
        <v>28</v>
      </c>
      <c r="F3" s="54"/>
      <c r="G3" s="54"/>
      <c r="H3" s="55"/>
      <c r="I3" s="54"/>
      <c r="J3" s="55"/>
      <c r="K3" s="56"/>
      <c r="L3" s="55"/>
      <c r="M3" s="54"/>
      <c r="N3" s="55"/>
      <c r="O3" s="54"/>
      <c r="P3" s="55"/>
      <c r="Q3" s="54"/>
      <c r="R3" s="54"/>
      <c r="S3" s="55"/>
      <c r="T3" s="54"/>
      <c r="U3" s="55"/>
      <c r="V3" s="56"/>
      <c r="W3" s="55"/>
      <c r="X3" s="54"/>
      <c r="Y3" s="55"/>
      <c r="Z3" s="54"/>
      <c r="AA3" s="55"/>
      <c r="AB3" s="57"/>
      <c r="AC3" s="54"/>
      <c r="AD3" s="55"/>
      <c r="AE3" s="54"/>
      <c r="AF3" s="55"/>
      <c r="AG3" s="56"/>
      <c r="AH3" s="55"/>
      <c r="AI3" s="54"/>
      <c r="AJ3" s="55"/>
      <c r="AK3" s="54"/>
      <c r="AL3" s="55"/>
      <c r="AM3" s="58"/>
      <c r="AN3" s="56"/>
      <c r="AP3" s="59" t="s">
        <v>29</v>
      </c>
    </row>
    <row r="4" ht="89.25" customHeight="1">
      <c r="A4" s="49"/>
      <c r="B4" s="60" t="str">
        <f>General!B2</f>
        <v/>
      </c>
      <c r="E4" s="61" t="s">
        <v>30</v>
      </c>
      <c r="F4" s="62"/>
      <c r="G4" s="63"/>
      <c r="H4" s="62"/>
      <c r="I4" s="63"/>
      <c r="J4" s="62"/>
      <c r="K4" s="56" t="s">
        <v>31</v>
      </c>
      <c r="L4" s="62"/>
      <c r="M4" s="63"/>
      <c r="N4" s="62"/>
      <c r="O4" s="63"/>
      <c r="P4" s="62"/>
      <c r="Q4" s="63"/>
      <c r="R4" s="63"/>
      <c r="S4" s="62"/>
      <c r="T4" s="63"/>
      <c r="U4" s="62"/>
      <c r="V4" s="56" t="s">
        <v>32</v>
      </c>
      <c r="W4" s="62"/>
      <c r="X4" s="63"/>
      <c r="Y4" s="62"/>
      <c r="Z4" s="63"/>
      <c r="AA4" s="62"/>
      <c r="AB4" s="64"/>
      <c r="AC4" s="63"/>
      <c r="AD4" s="62"/>
      <c r="AE4" s="63"/>
      <c r="AF4" s="62"/>
      <c r="AG4" s="56" t="s">
        <v>33</v>
      </c>
      <c r="AH4" s="62"/>
      <c r="AI4" s="63"/>
      <c r="AJ4" s="62"/>
      <c r="AK4" s="63"/>
      <c r="AL4" s="62"/>
      <c r="AM4" s="56" t="s">
        <v>34</v>
      </c>
      <c r="AN4" s="65" t="s">
        <v>35</v>
      </c>
      <c r="AO4" s="66" t="s">
        <v>36</v>
      </c>
    </row>
    <row r="5" ht="1.5" customHeight="1">
      <c r="A5" s="67"/>
      <c r="B5" s="68"/>
      <c r="C5" s="69"/>
      <c r="D5" s="70"/>
      <c r="E5" s="68"/>
      <c r="F5" s="71">
        <f t="shared" ref="F5:J5" si="5">IF(COUNT(F8:F37)=0,IF(F3="",0,1),IF(F3="",1,0))</f>
        <v>0</v>
      </c>
      <c r="G5" s="72">
        <f t="shared" si="5"/>
        <v>0</v>
      </c>
      <c r="H5" s="71">
        <f t="shared" si="5"/>
        <v>0</v>
      </c>
      <c r="I5" s="72">
        <f t="shared" si="5"/>
        <v>0</v>
      </c>
      <c r="J5" s="71">
        <f t="shared" si="5"/>
        <v>0</v>
      </c>
      <c r="K5" s="73"/>
      <c r="L5" s="71">
        <f t="shared" ref="L5:U5" si="6">IF(COUNT(L8:L37)=0,IF(L3="",0,1),IF(L3="",1,0))</f>
        <v>0</v>
      </c>
      <c r="M5" s="71">
        <f t="shared" si="6"/>
        <v>0</v>
      </c>
      <c r="N5" s="71">
        <f t="shared" si="6"/>
        <v>0</v>
      </c>
      <c r="O5" s="71">
        <f t="shared" si="6"/>
        <v>0</v>
      </c>
      <c r="P5" s="74">
        <f t="shared" si="6"/>
        <v>0</v>
      </c>
      <c r="Q5" s="74">
        <f t="shared" si="6"/>
        <v>0</v>
      </c>
      <c r="R5" s="74">
        <f t="shared" si="6"/>
        <v>0</v>
      </c>
      <c r="S5" s="71">
        <f t="shared" si="6"/>
        <v>0</v>
      </c>
      <c r="T5" s="71">
        <f t="shared" si="6"/>
        <v>0</v>
      </c>
      <c r="U5" s="71">
        <f t="shared" si="6"/>
        <v>0</v>
      </c>
      <c r="V5" s="73"/>
      <c r="W5" s="71">
        <f t="shared" ref="W5:AF5" si="7">IF(COUNT(W8:W37)=0,IF(W3="",0,1),IF(W3="",1,0))</f>
        <v>0</v>
      </c>
      <c r="X5" s="71">
        <f t="shared" si="7"/>
        <v>0</v>
      </c>
      <c r="Y5" s="71">
        <f t="shared" si="7"/>
        <v>0</v>
      </c>
      <c r="Z5" s="71">
        <f t="shared" si="7"/>
        <v>0</v>
      </c>
      <c r="AA5" s="71">
        <f t="shared" si="7"/>
        <v>0</v>
      </c>
      <c r="AB5" s="71">
        <f t="shared" si="7"/>
        <v>0</v>
      </c>
      <c r="AC5" s="71">
        <f t="shared" si="7"/>
        <v>0</v>
      </c>
      <c r="AD5" s="71">
        <f t="shared" si="7"/>
        <v>0</v>
      </c>
      <c r="AE5" s="71">
        <f t="shared" si="7"/>
        <v>0</v>
      </c>
      <c r="AF5" s="71">
        <f t="shared" si="7"/>
        <v>0</v>
      </c>
      <c r="AG5" s="73"/>
      <c r="AH5" s="71">
        <f t="shared" ref="AH5:AL5" si="8">IF(COUNT(AH8:AH37)=0,IF(AH3="",0,1),IF(AH3="",1,0))</f>
        <v>0</v>
      </c>
      <c r="AI5" s="71">
        <f t="shared" si="8"/>
        <v>0</v>
      </c>
      <c r="AJ5" s="71">
        <f t="shared" si="8"/>
        <v>0</v>
      </c>
      <c r="AK5" s="71">
        <f t="shared" si="8"/>
        <v>0</v>
      </c>
      <c r="AL5" s="71">
        <f t="shared" si="8"/>
        <v>0</v>
      </c>
      <c r="AM5" s="73"/>
      <c r="AN5" s="75">
        <v>5.0</v>
      </c>
      <c r="AO5" s="76">
        <v>5.0</v>
      </c>
    </row>
    <row r="6" ht="18.0" hidden="1" customHeight="1">
      <c r="A6" s="77"/>
      <c r="B6" s="77"/>
      <c r="C6" s="78"/>
      <c r="D6" s="79" t="s">
        <v>37</v>
      </c>
      <c r="E6" s="80">
        <f>if(sumifs(F5:AG5,F7:AG7,"&gt;=0")=0,1,sumifs(F5:AG5,F7:AG7,"&gt;=0"))</f>
        <v>1</v>
      </c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  <c r="AC6" s="81"/>
      <c r="AD6" s="81"/>
      <c r="AE6" s="81"/>
      <c r="AF6" s="81"/>
      <c r="AG6" s="81"/>
      <c r="AH6" s="81"/>
      <c r="AI6" s="81"/>
      <c r="AJ6" s="81"/>
      <c r="AK6" s="81"/>
      <c r="AL6" s="81"/>
      <c r="AM6" s="81"/>
      <c r="AN6" s="81"/>
      <c r="AO6" s="81"/>
      <c r="AP6" s="81"/>
    </row>
    <row r="7" ht="22.5" customHeight="1">
      <c r="A7" s="82"/>
      <c r="B7" s="82"/>
      <c r="C7" s="83" t="s">
        <v>38</v>
      </c>
      <c r="D7" s="84" t="str">
        <f t="array" ref="D7">iferror(index(Grades, match($E7*100,GradeRange,-1), 1),0)</f>
        <v/>
      </c>
      <c r="E7" s="85">
        <f>IFERROR(AP7/100,0)</f>
        <v>0</v>
      </c>
      <c r="F7" s="86" t="str">
        <f t="shared" ref="F7:AP7" si="9">iferror(average(F8:F37))</f>
        <v/>
      </c>
      <c r="G7" s="86" t="str">
        <f t="shared" si="9"/>
        <v/>
      </c>
      <c r="H7" s="86" t="str">
        <f t="shared" si="9"/>
        <v/>
      </c>
      <c r="I7" s="86" t="str">
        <f t="shared" si="9"/>
        <v/>
      </c>
      <c r="J7" s="86" t="str">
        <f t="shared" si="9"/>
        <v/>
      </c>
      <c r="K7" s="86" t="str">
        <f t="shared" si="9"/>
        <v/>
      </c>
      <c r="L7" s="86" t="str">
        <f t="shared" si="9"/>
        <v/>
      </c>
      <c r="M7" s="86" t="str">
        <f t="shared" si="9"/>
        <v/>
      </c>
      <c r="N7" s="86" t="str">
        <f t="shared" si="9"/>
        <v/>
      </c>
      <c r="O7" s="86" t="str">
        <f t="shared" si="9"/>
        <v/>
      </c>
      <c r="P7" s="86" t="str">
        <f t="shared" si="9"/>
        <v/>
      </c>
      <c r="Q7" s="86" t="str">
        <f t="shared" si="9"/>
        <v/>
      </c>
      <c r="R7" s="86" t="str">
        <f t="shared" si="9"/>
        <v/>
      </c>
      <c r="S7" s="86" t="str">
        <f t="shared" si="9"/>
        <v/>
      </c>
      <c r="T7" s="86" t="str">
        <f t="shared" si="9"/>
        <v/>
      </c>
      <c r="U7" s="87" t="str">
        <f t="shared" si="9"/>
        <v/>
      </c>
      <c r="V7" s="86" t="str">
        <f t="shared" si="9"/>
        <v/>
      </c>
      <c r="W7" s="86" t="str">
        <f t="shared" si="9"/>
        <v/>
      </c>
      <c r="X7" s="86" t="str">
        <f t="shared" si="9"/>
        <v/>
      </c>
      <c r="Y7" s="86" t="str">
        <f t="shared" si="9"/>
        <v/>
      </c>
      <c r="Z7" s="86" t="str">
        <f t="shared" si="9"/>
        <v/>
      </c>
      <c r="AA7" s="86" t="str">
        <f t="shared" si="9"/>
        <v/>
      </c>
      <c r="AB7" s="86" t="str">
        <f t="shared" si="9"/>
        <v/>
      </c>
      <c r="AC7" s="86" t="str">
        <f t="shared" si="9"/>
        <v/>
      </c>
      <c r="AD7" s="88" t="str">
        <f t="shared" si="9"/>
        <v/>
      </c>
      <c r="AE7" s="86" t="str">
        <f t="shared" si="9"/>
        <v/>
      </c>
      <c r="AF7" s="86" t="str">
        <f t="shared" si="9"/>
        <v/>
      </c>
      <c r="AG7" s="86" t="str">
        <f t="shared" si="9"/>
        <v/>
      </c>
      <c r="AH7" s="86" t="str">
        <f t="shared" si="9"/>
        <v/>
      </c>
      <c r="AI7" s="86" t="str">
        <f t="shared" si="9"/>
        <v/>
      </c>
      <c r="AJ7" s="86" t="str">
        <f t="shared" si="9"/>
        <v/>
      </c>
      <c r="AK7" s="86" t="str">
        <f t="shared" si="9"/>
        <v/>
      </c>
      <c r="AL7" s="86" t="str">
        <f t="shared" si="9"/>
        <v/>
      </c>
      <c r="AM7" s="86" t="str">
        <f t="shared" si="9"/>
        <v/>
      </c>
      <c r="AN7" s="86" t="str">
        <f t="shared" si="9"/>
        <v/>
      </c>
      <c r="AO7" s="86" t="str">
        <f t="shared" si="9"/>
        <v/>
      </c>
      <c r="AP7" s="86" t="str">
        <f t="shared" si="9"/>
        <v/>
      </c>
    </row>
    <row r="8" ht="19.5" customHeight="1">
      <c r="A8" s="89"/>
      <c r="B8" s="90"/>
      <c r="C8" s="91"/>
      <c r="D8" s="92" t="str">
        <f t="array" ref="D8">IFERROR(index(Grades, match($E8*100,GradeRange,-1), 1))</f>
        <v/>
      </c>
      <c r="E8" s="93">
        <f t="shared" ref="E8:E37" si="10">IFERROR((SUM(K8,V8,AG8,AM8,AN8,AO8))/100)</f>
        <v>0</v>
      </c>
      <c r="F8" s="94"/>
      <c r="G8" s="95"/>
      <c r="H8" s="94"/>
      <c r="I8" s="95"/>
      <c r="J8" s="94"/>
      <c r="K8" s="96" t="str">
        <f t="shared" ref="K8:K37" si="11">IFERROR(ROUND(ROUND(AVERAGE(F8:J8),0)*0.1,0),"")</f>
        <v/>
      </c>
      <c r="L8" s="94"/>
      <c r="M8" s="95"/>
      <c r="N8" s="94"/>
      <c r="O8" s="95"/>
      <c r="P8" s="94"/>
      <c r="Q8" s="95"/>
      <c r="R8" s="95"/>
      <c r="S8" s="94"/>
      <c r="T8" s="95"/>
      <c r="U8" s="95"/>
      <c r="V8" s="97" t="str">
        <f t="shared" ref="V8:V37" si="12">IFERROR(ROUND(ROUND(AVERAGE(L8:U8),0)*0.35,0),"")</f>
        <v/>
      </c>
      <c r="W8" s="94"/>
      <c r="X8" s="95"/>
      <c r="Y8" s="94"/>
      <c r="Z8" s="95"/>
      <c r="AA8" s="94"/>
      <c r="AB8" s="95"/>
      <c r="AC8" s="95"/>
      <c r="AD8" s="94"/>
      <c r="AE8" s="95"/>
      <c r="AF8" s="95"/>
      <c r="AG8" s="97" t="str">
        <f t="shared" ref="AG8:AG37" si="13">IFERROR(ROUND(ROUND(AVERAGE(W8:AF8),0)*0.35,0),"")</f>
        <v/>
      </c>
      <c r="AH8" s="94"/>
      <c r="AI8" s="95"/>
      <c r="AJ8" s="94"/>
      <c r="AK8" s="95"/>
      <c r="AL8" s="94"/>
      <c r="AM8" s="97" t="str">
        <f t="shared" ref="AM8:AM37" si="14">IFERROR(ROUND(ROUND(AVERAGE(AH8:AL8),0)*0.1,0),"")</f>
        <v/>
      </c>
      <c r="AN8" s="98"/>
      <c r="AO8" s="99"/>
      <c r="AP8" s="97" t="str">
        <f t="shared" ref="AP8:AP37" si="15">IF(SUM(K8,V8,AG8,AM8,AN8,AO8)=0,"",SUM(K8,V8,AG8,AM8,AN8,AO8))</f>
        <v/>
      </c>
    </row>
    <row r="9" ht="19.5" customHeight="1">
      <c r="A9" s="89"/>
      <c r="B9" s="90"/>
      <c r="C9" s="100"/>
      <c r="D9" s="92" t="str">
        <f t="array" ref="D9">IFERROR(index(Grades, match($E9*100,GradeRange,-1), 1))</f>
        <v/>
      </c>
      <c r="E9" s="93">
        <f t="shared" si="10"/>
        <v>0</v>
      </c>
      <c r="F9" s="94"/>
      <c r="G9" s="101"/>
      <c r="H9" s="94"/>
      <c r="I9" s="101"/>
      <c r="J9" s="94"/>
      <c r="K9" s="102" t="str">
        <f t="shared" si="11"/>
        <v/>
      </c>
      <c r="L9" s="94"/>
      <c r="M9" s="101"/>
      <c r="N9" s="94"/>
      <c r="O9" s="101"/>
      <c r="P9" s="94"/>
      <c r="Q9" s="101"/>
      <c r="R9" s="101"/>
      <c r="S9" s="94"/>
      <c r="T9" s="101"/>
      <c r="U9" s="101"/>
      <c r="V9" s="103" t="str">
        <f t="shared" si="12"/>
        <v/>
      </c>
      <c r="W9" s="94"/>
      <c r="X9" s="101"/>
      <c r="Y9" s="94"/>
      <c r="Z9" s="101"/>
      <c r="AA9" s="94"/>
      <c r="AB9" s="101"/>
      <c r="AC9" s="101"/>
      <c r="AD9" s="94"/>
      <c r="AE9" s="101"/>
      <c r="AF9" s="101"/>
      <c r="AG9" s="103" t="str">
        <f t="shared" si="13"/>
        <v/>
      </c>
      <c r="AH9" s="94"/>
      <c r="AI9" s="101"/>
      <c r="AJ9" s="94"/>
      <c r="AK9" s="101"/>
      <c r="AL9" s="94"/>
      <c r="AM9" s="103" t="str">
        <f t="shared" si="14"/>
        <v/>
      </c>
      <c r="AN9" s="104"/>
      <c r="AO9" s="105"/>
      <c r="AP9" s="103" t="str">
        <f t="shared" si="15"/>
        <v/>
      </c>
    </row>
    <row r="10" ht="19.5" customHeight="1">
      <c r="A10" s="89"/>
      <c r="B10" s="90"/>
      <c r="C10" s="91"/>
      <c r="D10" s="92" t="str">
        <f t="array" ref="D10">IFERROR(index(Grades, match($E10*100,GradeRange,-1), 1))</f>
        <v/>
      </c>
      <c r="E10" s="93">
        <f t="shared" si="10"/>
        <v>0</v>
      </c>
      <c r="F10" s="94"/>
      <c r="G10" s="101"/>
      <c r="H10" s="94"/>
      <c r="I10" s="101"/>
      <c r="J10" s="94"/>
      <c r="K10" s="102" t="str">
        <f t="shared" si="11"/>
        <v/>
      </c>
      <c r="L10" s="94"/>
      <c r="M10" s="101"/>
      <c r="N10" s="94"/>
      <c r="O10" s="101"/>
      <c r="P10" s="94"/>
      <c r="Q10" s="101"/>
      <c r="R10" s="101"/>
      <c r="S10" s="94"/>
      <c r="T10" s="101"/>
      <c r="U10" s="101"/>
      <c r="V10" s="103" t="str">
        <f t="shared" si="12"/>
        <v/>
      </c>
      <c r="W10" s="94"/>
      <c r="X10" s="101"/>
      <c r="Y10" s="94"/>
      <c r="Z10" s="101"/>
      <c r="AA10" s="94"/>
      <c r="AB10" s="101"/>
      <c r="AC10" s="101"/>
      <c r="AD10" s="94"/>
      <c r="AE10" s="101"/>
      <c r="AF10" s="101"/>
      <c r="AG10" s="103" t="str">
        <f t="shared" si="13"/>
        <v/>
      </c>
      <c r="AH10" s="94"/>
      <c r="AI10" s="101"/>
      <c r="AJ10" s="94"/>
      <c r="AK10" s="101"/>
      <c r="AL10" s="94"/>
      <c r="AM10" s="103" t="str">
        <f t="shared" si="14"/>
        <v/>
      </c>
      <c r="AN10" s="104"/>
      <c r="AO10" s="105"/>
      <c r="AP10" s="103" t="str">
        <f t="shared" si="15"/>
        <v/>
      </c>
    </row>
    <row r="11" ht="19.5" customHeight="1">
      <c r="A11" s="89"/>
      <c r="B11" s="90"/>
      <c r="C11" s="100"/>
      <c r="D11" s="92" t="str">
        <f t="array" ref="D11">IFERROR(index(Grades, match($E11*100,GradeRange,-1), 1))</f>
        <v/>
      </c>
      <c r="E11" s="93">
        <f t="shared" si="10"/>
        <v>0</v>
      </c>
      <c r="F11" s="94"/>
      <c r="G11" s="101"/>
      <c r="H11" s="94"/>
      <c r="I11" s="101"/>
      <c r="J11" s="94"/>
      <c r="K11" s="102" t="str">
        <f t="shared" si="11"/>
        <v/>
      </c>
      <c r="L11" s="94"/>
      <c r="M11" s="101"/>
      <c r="N11" s="94"/>
      <c r="O11" s="101"/>
      <c r="P11" s="94"/>
      <c r="Q11" s="101"/>
      <c r="R11" s="101"/>
      <c r="S11" s="94"/>
      <c r="T11" s="101"/>
      <c r="U11" s="101"/>
      <c r="V11" s="103" t="str">
        <f t="shared" si="12"/>
        <v/>
      </c>
      <c r="W11" s="94"/>
      <c r="X11" s="101"/>
      <c r="Y11" s="94"/>
      <c r="Z11" s="101"/>
      <c r="AA11" s="94"/>
      <c r="AB11" s="101"/>
      <c r="AC11" s="101"/>
      <c r="AD11" s="94"/>
      <c r="AE11" s="101"/>
      <c r="AF11" s="101"/>
      <c r="AG11" s="103" t="str">
        <f t="shared" si="13"/>
        <v/>
      </c>
      <c r="AH11" s="94"/>
      <c r="AI11" s="101"/>
      <c r="AJ11" s="94"/>
      <c r="AK11" s="101"/>
      <c r="AL11" s="94"/>
      <c r="AM11" s="103" t="str">
        <f t="shared" si="14"/>
        <v/>
      </c>
      <c r="AN11" s="104"/>
      <c r="AO11" s="105"/>
      <c r="AP11" s="103" t="str">
        <f t="shared" si="15"/>
        <v/>
      </c>
    </row>
    <row r="12" ht="19.5" customHeight="1">
      <c r="A12" s="89"/>
      <c r="B12" s="90"/>
      <c r="C12" s="91"/>
      <c r="D12" s="92" t="str">
        <f t="array" ref="D12">IFERROR(index(Grades, match($E12*100,GradeRange,-1), 1))</f>
        <v/>
      </c>
      <c r="E12" s="93">
        <f t="shared" si="10"/>
        <v>0</v>
      </c>
      <c r="F12" s="94"/>
      <c r="G12" s="101"/>
      <c r="H12" s="94"/>
      <c r="I12" s="101"/>
      <c r="J12" s="94"/>
      <c r="K12" s="102" t="str">
        <f t="shared" si="11"/>
        <v/>
      </c>
      <c r="L12" s="94"/>
      <c r="M12" s="101"/>
      <c r="N12" s="94"/>
      <c r="O12" s="101"/>
      <c r="P12" s="94"/>
      <c r="Q12" s="101"/>
      <c r="R12" s="101"/>
      <c r="S12" s="94"/>
      <c r="T12" s="101"/>
      <c r="U12" s="101"/>
      <c r="V12" s="103" t="str">
        <f t="shared" si="12"/>
        <v/>
      </c>
      <c r="W12" s="94"/>
      <c r="X12" s="101"/>
      <c r="Y12" s="94"/>
      <c r="Z12" s="101"/>
      <c r="AA12" s="94"/>
      <c r="AB12" s="101"/>
      <c r="AC12" s="101"/>
      <c r="AD12" s="94"/>
      <c r="AE12" s="101"/>
      <c r="AF12" s="101"/>
      <c r="AG12" s="103" t="str">
        <f t="shared" si="13"/>
        <v/>
      </c>
      <c r="AH12" s="94"/>
      <c r="AI12" s="101"/>
      <c r="AJ12" s="94"/>
      <c r="AK12" s="101"/>
      <c r="AL12" s="94"/>
      <c r="AM12" s="103" t="str">
        <f t="shared" si="14"/>
        <v/>
      </c>
      <c r="AN12" s="104"/>
      <c r="AO12" s="105"/>
      <c r="AP12" s="103" t="str">
        <f t="shared" si="15"/>
        <v/>
      </c>
    </row>
    <row r="13" ht="19.5" customHeight="1">
      <c r="A13" s="89"/>
      <c r="B13" s="90"/>
      <c r="C13" s="100"/>
      <c r="D13" s="92" t="str">
        <f t="array" ref="D13">IFERROR(index(Grades, match($E13*100,GradeRange,-1), 1))</f>
        <v/>
      </c>
      <c r="E13" s="93">
        <f t="shared" si="10"/>
        <v>0</v>
      </c>
      <c r="F13" s="94"/>
      <c r="G13" s="101"/>
      <c r="H13" s="94"/>
      <c r="I13" s="101"/>
      <c r="J13" s="94"/>
      <c r="K13" s="102" t="str">
        <f t="shared" si="11"/>
        <v/>
      </c>
      <c r="L13" s="94"/>
      <c r="M13" s="101"/>
      <c r="N13" s="94"/>
      <c r="O13" s="101"/>
      <c r="P13" s="94"/>
      <c r="Q13" s="101"/>
      <c r="R13" s="101"/>
      <c r="S13" s="94"/>
      <c r="T13" s="101"/>
      <c r="U13" s="101"/>
      <c r="V13" s="103" t="str">
        <f t="shared" si="12"/>
        <v/>
      </c>
      <c r="W13" s="94"/>
      <c r="X13" s="101"/>
      <c r="Y13" s="94"/>
      <c r="Z13" s="101"/>
      <c r="AA13" s="94"/>
      <c r="AB13" s="101"/>
      <c r="AC13" s="101"/>
      <c r="AD13" s="94"/>
      <c r="AE13" s="101"/>
      <c r="AF13" s="101"/>
      <c r="AG13" s="103" t="str">
        <f t="shared" si="13"/>
        <v/>
      </c>
      <c r="AH13" s="94"/>
      <c r="AI13" s="101"/>
      <c r="AJ13" s="94"/>
      <c r="AK13" s="101"/>
      <c r="AL13" s="94"/>
      <c r="AM13" s="103" t="str">
        <f t="shared" si="14"/>
        <v/>
      </c>
      <c r="AN13" s="104"/>
      <c r="AO13" s="105"/>
      <c r="AP13" s="103" t="str">
        <f t="shared" si="15"/>
        <v/>
      </c>
    </row>
    <row r="14" ht="19.5" customHeight="1">
      <c r="A14" s="89"/>
      <c r="B14" s="90"/>
      <c r="C14" s="91"/>
      <c r="D14" s="92" t="str">
        <f t="array" ref="D14">IFERROR(index(Grades, match($E14*100,GradeRange,-1), 1))</f>
        <v/>
      </c>
      <c r="E14" s="93">
        <f t="shared" si="10"/>
        <v>0</v>
      </c>
      <c r="F14" s="94"/>
      <c r="G14" s="101"/>
      <c r="H14" s="94"/>
      <c r="I14" s="101"/>
      <c r="J14" s="94"/>
      <c r="K14" s="102" t="str">
        <f t="shared" si="11"/>
        <v/>
      </c>
      <c r="L14" s="94"/>
      <c r="M14" s="101"/>
      <c r="N14" s="94"/>
      <c r="O14" s="101"/>
      <c r="P14" s="94"/>
      <c r="Q14" s="101"/>
      <c r="R14" s="101"/>
      <c r="S14" s="94"/>
      <c r="T14" s="101"/>
      <c r="U14" s="101"/>
      <c r="V14" s="103" t="str">
        <f t="shared" si="12"/>
        <v/>
      </c>
      <c r="W14" s="94"/>
      <c r="X14" s="101"/>
      <c r="Y14" s="94"/>
      <c r="Z14" s="101"/>
      <c r="AA14" s="94"/>
      <c r="AB14" s="101"/>
      <c r="AC14" s="101"/>
      <c r="AD14" s="94"/>
      <c r="AE14" s="101"/>
      <c r="AF14" s="101"/>
      <c r="AG14" s="103" t="str">
        <f t="shared" si="13"/>
        <v/>
      </c>
      <c r="AH14" s="94"/>
      <c r="AI14" s="101"/>
      <c r="AJ14" s="94"/>
      <c r="AK14" s="101"/>
      <c r="AL14" s="94"/>
      <c r="AM14" s="103" t="str">
        <f t="shared" si="14"/>
        <v/>
      </c>
      <c r="AN14" s="104"/>
      <c r="AO14" s="105"/>
      <c r="AP14" s="103" t="str">
        <f t="shared" si="15"/>
        <v/>
      </c>
    </row>
    <row r="15" ht="19.5" customHeight="1">
      <c r="A15" s="89"/>
      <c r="B15" s="90"/>
      <c r="C15" s="100"/>
      <c r="D15" s="92" t="str">
        <f t="array" ref="D15">IFERROR(index(Grades, match($E15*100,GradeRange,-1), 1))</f>
        <v/>
      </c>
      <c r="E15" s="93">
        <f t="shared" si="10"/>
        <v>0</v>
      </c>
      <c r="F15" s="94"/>
      <c r="G15" s="101"/>
      <c r="H15" s="94"/>
      <c r="I15" s="101"/>
      <c r="J15" s="94"/>
      <c r="K15" s="102" t="str">
        <f t="shared" si="11"/>
        <v/>
      </c>
      <c r="L15" s="94"/>
      <c r="M15" s="101"/>
      <c r="N15" s="94"/>
      <c r="O15" s="101"/>
      <c r="P15" s="94"/>
      <c r="Q15" s="101"/>
      <c r="R15" s="101"/>
      <c r="S15" s="94"/>
      <c r="T15" s="101"/>
      <c r="U15" s="101"/>
      <c r="V15" s="103" t="str">
        <f t="shared" si="12"/>
        <v/>
      </c>
      <c r="W15" s="94"/>
      <c r="X15" s="101"/>
      <c r="Y15" s="94"/>
      <c r="Z15" s="101"/>
      <c r="AA15" s="94"/>
      <c r="AB15" s="101"/>
      <c r="AC15" s="101"/>
      <c r="AD15" s="94"/>
      <c r="AE15" s="101"/>
      <c r="AF15" s="101"/>
      <c r="AG15" s="103" t="str">
        <f t="shared" si="13"/>
        <v/>
      </c>
      <c r="AH15" s="94"/>
      <c r="AI15" s="101"/>
      <c r="AJ15" s="94"/>
      <c r="AK15" s="101"/>
      <c r="AL15" s="94"/>
      <c r="AM15" s="103" t="str">
        <f t="shared" si="14"/>
        <v/>
      </c>
      <c r="AN15" s="104"/>
      <c r="AO15" s="105"/>
      <c r="AP15" s="103" t="str">
        <f t="shared" si="15"/>
        <v/>
      </c>
    </row>
    <row r="16" ht="19.5" customHeight="1">
      <c r="A16" s="89"/>
      <c r="B16" s="90"/>
      <c r="C16" s="91"/>
      <c r="D16" s="92" t="str">
        <f t="array" ref="D16">IFERROR(index(Grades, match($E16*100,GradeRange,-1), 1))</f>
        <v/>
      </c>
      <c r="E16" s="93">
        <f t="shared" si="10"/>
        <v>0</v>
      </c>
      <c r="F16" s="94"/>
      <c r="G16" s="101"/>
      <c r="H16" s="94"/>
      <c r="I16" s="101"/>
      <c r="J16" s="94"/>
      <c r="K16" s="102" t="str">
        <f t="shared" si="11"/>
        <v/>
      </c>
      <c r="L16" s="94"/>
      <c r="M16" s="101"/>
      <c r="N16" s="94"/>
      <c r="O16" s="101"/>
      <c r="P16" s="94"/>
      <c r="Q16" s="101"/>
      <c r="R16" s="101"/>
      <c r="S16" s="94"/>
      <c r="T16" s="101"/>
      <c r="U16" s="101"/>
      <c r="V16" s="103" t="str">
        <f t="shared" si="12"/>
        <v/>
      </c>
      <c r="W16" s="94"/>
      <c r="X16" s="101"/>
      <c r="Y16" s="94"/>
      <c r="Z16" s="101"/>
      <c r="AA16" s="94"/>
      <c r="AB16" s="101"/>
      <c r="AC16" s="101"/>
      <c r="AD16" s="94"/>
      <c r="AE16" s="101"/>
      <c r="AF16" s="101"/>
      <c r="AG16" s="103" t="str">
        <f t="shared" si="13"/>
        <v/>
      </c>
      <c r="AH16" s="94"/>
      <c r="AI16" s="101"/>
      <c r="AJ16" s="94"/>
      <c r="AK16" s="101"/>
      <c r="AL16" s="94"/>
      <c r="AM16" s="103" t="str">
        <f t="shared" si="14"/>
        <v/>
      </c>
      <c r="AN16" s="104"/>
      <c r="AO16" s="105"/>
      <c r="AP16" s="103" t="str">
        <f t="shared" si="15"/>
        <v/>
      </c>
    </row>
    <row r="17" ht="19.5" customHeight="1">
      <c r="A17" s="89"/>
      <c r="B17" s="90"/>
      <c r="C17" s="100"/>
      <c r="D17" s="92" t="str">
        <f t="array" ref="D17">IFERROR(index(Grades, match($E17*100,GradeRange,-1), 1))</f>
        <v/>
      </c>
      <c r="E17" s="93">
        <f t="shared" si="10"/>
        <v>0</v>
      </c>
      <c r="F17" s="94"/>
      <c r="G17" s="101"/>
      <c r="H17" s="94"/>
      <c r="I17" s="101"/>
      <c r="J17" s="94"/>
      <c r="K17" s="102" t="str">
        <f t="shared" si="11"/>
        <v/>
      </c>
      <c r="L17" s="94"/>
      <c r="M17" s="101"/>
      <c r="N17" s="94"/>
      <c r="O17" s="101"/>
      <c r="P17" s="94"/>
      <c r="Q17" s="101"/>
      <c r="R17" s="101"/>
      <c r="S17" s="94"/>
      <c r="T17" s="101"/>
      <c r="U17" s="101"/>
      <c r="V17" s="103" t="str">
        <f t="shared" si="12"/>
        <v/>
      </c>
      <c r="W17" s="94"/>
      <c r="X17" s="101"/>
      <c r="Y17" s="94"/>
      <c r="Z17" s="101"/>
      <c r="AA17" s="94"/>
      <c r="AB17" s="101"/>
      <c r="AC17" s="101"/>
      <c r="AD17" s="94"/>
      <c r="AE17" s="101"/>
      <c r="AF17" s="101"/>
      <c r="AG17" s="103" t="str">
        <f t="shared" si="13"/>
        <v/>
      </c>
      <c r="AH17" s="94"/>
      <c r="AI17" s="101"/>
      <c r="AJ17" s="94"/>
      <c r="AK17" s="101"/>
      <c r="AL17" s="94"/>
      <c r="AM17" s="103" t="str">
        <f t="shared" si="14"/>
        <v/>
      </c>
      <c r="AN17" s="104"/>
      <c r="AO17" s="105"/>
      <c r="AP17" s="103" t="str">
        <f t="shared" si="15"/>
        <v/>
      </c>
    </row>
    <row r="18" ht="19.5" customHeight="1">
      <c r="A18" s="89"/>
      <c r="B18" s="90"/>
      <c r="C18" s="91"/>
      <c r="D18" s="92" t="str">
        <f t="array" ref="D18">IFERROR(index(Grades, match($E18*100,GradeRange,-1), 1))</f>
        <v/>
      </c>
      <c r="E18" s="93">
        <f t="shared" si="10"/>
        <v>0</v>
      </c>
      <c r="F18" s="94"/>
      <c r="G18" s="101"/>
      <c r="H18" s="94"/>
      <c r="I18" s="101"/>
      <c r="J18" s="94"/>
      <c r="K18" s="102" t="str">
        <f t="shared" si="11"/>
        <v/>
      </c>
      <c r="L18" s="94"/>
      <c r="M18" s="101"/>
      <c r="N18" s="94"/>
      <c r="O18" s="101"/>
      <c r="P18" s="94"/>
      <c r="Q18" s="101"/>
      <c r="R18" s="101"/>
      <c r="S18" s="94"/>
      <c r="T18" s="101"/>
      <c r="U18" s="101"/>
      <c r="V18" s="103" t="str">
        <f t="shared" si="12"/>
        <v/>
      </c>
      <c r="W18" s="94"/>
      <c r="X18" s="101"/>
      <c r="Y18" s="94"/>
      <c r="Z18" s="101"/>
      <c r="AA18" s="94"/>
      <c r="AB18" s="101"/>
      <c r="AC18" s="101"/>
      <c r="AD18" s="94"/>
      <c r="AE18" s="101"/>
      <c r="AF18" s="101"/>
      <c r="AG18" s="103" t="str">
        <f t="shared" si="13"/>
        <v/>
      </c>
      <c r="AH18" s="94"/>
      <c r="AI18" s="101"/>
      <c r="AJ18" s="94"/>
      <c r="AK18" s="101"/>
      <c r="AL18" s="94"/>
      <c r="AM18" s="103" t="str">
        <f t="shared" si="14"/>
        <v/>
      </c>
      <c r="AN18" s="104"/>
      <c r="AO18" s="105"/>
      <c r="AP18" s="103" t="str">
        <f t="shared" si="15"/>
        <v/>
      </c>
    </row>
    <row r="19" ht="19.5" customHeight="1">
      <c r="A19" s="89"/>
      <c r="B19" s="90"/>
      <c r="C19" s="100"/>
      <c r="D19" s="92" t="str">
        <f t="array" ref="D19">IFERROR(index(Grades, match($E19*100,GradeRange,-1), 1))</f>
        <v/>
      </c>
      <c r="E19" s="93">
        <f t="shared" si="10"/>
        <v>0</v>
      </c>
      <c r="F19" s="94"/>
      <c r="G19" s="101"/>
      <c r="H19" s="94"/>
      <c r="I19" s="101"/>
      <c r="J19" s="94"/>
      <c r="K19" s="102" t="str">
        <f t="shared" si="11"/>
        <v/>
      </c>
      <c r="L19" s="94"/>
      <c r="M19" s="101"/>
      <c r="N19" s="94"/>
      <c r="O19" s="101"/>
      <c r="P19" s="94"/>
      <c r="Q19" s="101"/>
      <c r="R19" s="101"/>
      <c r="S19" s="94"/>
      <c r="T19" s="101"/>
      <c r="U19" s="101"/>
      <c r="V19" s="103" t="str">
        <f t="shared" si="12"/>
        <v/>
      </c>
      <c r="W19" s="94"/>
      <c r="X19" s="101"/>
      <c r="Y19" s="94"/>
      <c r="Z19" s="101"/>
      <c r="AA19" s="94"/>
      <c r="AB19" s="101"/>
      <c r="AC19" s="101"/>
      <c r="AD19" s="94"/>
      <c r="AE19" s="101"/>
      <c r="AF19" s="101"/>
      <c r="AG19" s="103" t="str">
        <f t="shared" si="13"/>
        <v/>
      </c>
      <c r="AH19" s="94"/>
      <c r="AI19" s="101"/>
      <c r="AJ19" s="94"/>
      <c r="AK19" s="101"/>
      <c r="AL19" s="94"/>
      <c r="AM19" s="103" t="str">
        <f t="shared" si="14"/>
        <v/>
      </c>
      <c r="AN19" s="104"/>
      <c r="AO19" s="105"/>
      <c r="AP19" s="103" t="str">
        <f t="shared" si="15"/>
        <v/>
      </c>
    </row>
    <row r="20" ht="19.5" customHeight="1">
      <c r="A20" s="89"/>
      <c r="B20" s="90"/>
      <c r="C20" s="91"/>
      <c r="D20" s="92" t="str">
        <f t="array" ref="D20">IFERROR(index(Grades, match($E20*100,GradeRange,-1), 1))</f>
        <v/>
      </c>
      <c r="E20" s="93">
        <f t="shared" si="10"/>
        <v>0</v>
      </c>
      <c r="F20" s="94"/>
      <c r="G20" s="101"/>
      <c r="H20" s="94"/>
      <c r="I20" s="101"/>
      <c r="J20" s="94"/>
      <c r="K20" s="102" t="str">
        <f t="shared" si="11"/>
        <v/>
      </c>
      <c r="L20" s="94"/>
      <c r="M20" s="101"/>
      <c r="N20" s="94"/>
      <c r="O20" s="101"/>
      <c r="P20" s="94"/>
      <c r="Q20" s="101"/>
      <c r="R20" s="101"/>
      <c r="S20" s="94"/>
      <c r="T20" s="101"/>
      <c r="U20" s="101"/>
      <c r="V20" s="103" t="str">
        <f t="shared" si="12"/>
        <v/>
      </c>
      <c r="W20" s="94"/>
      <c r="X20" s="101"/>
      <c r="Y20" s="94"/>
      <c r="Z20" s="101"/>
      <c r="AA20" s="94"/>
      <c r="AB20" s="101"/>
      <c r="AC20" s="101"/>
      <c r="AD20" s="94"/>
      <c r="AE20" s="101"/>
      <c r="AF20" s="101"/>
      <c r="AG20" s="103" t="str">
        <f t="shared" si="13"/>
        <v/>
      </c>
      <c r="AH20" s="94"/>
      <c r="AI20" s="101"/>
      <c r="AJ20" s="94"/>
      <c r="AK20" s="101"/>
      <c r="AL20" s="94"/>
      <c r="AM20" s="103" t="str">
        <f t="shared" si="14"/>
        <v/>
      </c>
      <c r="AN20" s="104"/>
      <c r="AO20" s="105"/>
      <c r="AP20" s="103" t="str">
        <f t="shared" si="15"/>
        <v/>
      </c>
    </row>
    <row r="21" ht="19.5" customHeight="1">
      <c r="A21" s="89"/>
      <c r="B21" s="90"/>
      <c r="C21" s="100"/>
      <c r="D21" s="92" t="str">
        <f t="array" ref="D21">IFERROR(index(Grades, match($E21*100,GradeRange,-1), 1))</f>
        <v/>
      </c>
      <c r="E21" s="93">
        <f t="shared" si="10"/>
        <v>0</v>
      </c>
      <c r="F21" s="94"/>
      <c r="G21" s="101"/>
      <c r="H21" s="94"/>
      <c r="I21" s="101"/>
      <c r="J21" s="94"/>
      <c r="K21" s="102" t="str">
        <f t="shared" si="11"/>
        <v/>
      </c>
      <c r="L21" s="94"/>
      <c r="M21" s="101"/>
      <c r="N21" s="94"/>
      <c r="O21" s="101"/>
      <c r="P21" s="94"/>
      <c r="Q21" s="101"/>
      <c r="R21" s="101"/>
      <c r="S21" s="94"/>
      <c r="T21" s="101"/>
      <c r="U21" s="101"/>
      <c r="V21" s="103" t="str">
        <f t="shared" si="12"/>
        <v/>
      </c>
      <c r="W21" s="94"/>
      <c r="X21" s="101"/>
      <c r="Y21" s="94"/>
      <c r="Z21" s="101"/>
      <c r="AA21" s="94"/>
      <c r="AB21" s="101"/>
      <c r="AC21" s="101"/>
      <c r="AD21" s="94"/>
      <c r="AE21" s="101"/>
      <c r="AF21" s="101"/>
      <c r="AG21" s="103" t="str">
        <f t="shared" si="13"/>
        <v/>
      </c>
      <c r="AH21" s="94"/>
      <c r="AI21" s="101"/>
      <c r="AJ21" s="94"/>
      <c r="AK21" s="101"/>
      <c r="AL21" s="94"/>
      <c r="AM21" s="103" t="str">
        <f t="shared" si="14"/>
        <v/>
      </c>
      <c r="AN21" s="104"/>
      <c r="AO21" s="105"/>
      <c r="AP21" s="103" t="str">
        <f t="shared" si="15"/>
        <v/>
      </c>
    </row>
    <row r="22" ht="19.5" customHeight="1">
      <c r="A22" s="89"/>
      <c r="B22" s="90"/>
      <c r="C22" s="91"/>
      <c r="D22" s="92" t="str">
        <f t="array" ref="D22">IFERROR(index(Grades, match($E22*100,GradeRange,-1), 1))</f>
        <v/>
      </c>
      <c r="E22" s="93">
        <f t="shared" si="10"/>
        <v>0</v>
      </c>
      <c r="F22" s="94"/>
      <c r="G22" s="101"/>
      <c r="H22" s="94"/>
      <c r="I22" s="101"/>
      <c r="J22" s="94"/>
      <c r="K22" s="102" t="str">
        <f t="shared" si="11"/>
        <v/>
      </c>
      <c r="L22" s="94"/>
      <c r="M22" s="101"/>
      <c r="N22" s="94"/>
      <c r="O22" s="101"/>
      <c r="P22" s="94"/>
      <c r="Q22" s="101"/>
      <c r="R22" s="101"/>
      <c r="S22" s="94"/>
      <c r="T22" s="101"/>
      <c r="U22" s="101"/>
      <c r="V22" s="103" t="str">
        <f t="shared" si="12"/>
        <v/>
      </c>
      <c r="W22" s="94"/>
      <c r="X22" s="101"/>
      <c r="Y22" s="94"/>
      <c r="Z22" s="101"/>
      <c r="AA22" s="94"/>
      <c r="AB22" s="101"/>
      <c r="AC22" s="101"/>
      <c r="AD22" s="94"/>
      <c r="AE22" s="101"/>
      <c r="AF22" s="101"/>
      <c r="AG22" s="103" t="str">
        <f t="shared" si="13"/>
        <v/>
      </c>
      <c r="AH22" s="94"/>
      <c r="AI22" s="101"/>
      <c r="AJ22" s="94"/>
      <c r="AK22" s="101"/>
      <c r="AL22" s="94"/>
      <c r="AM22" s="103" t="str">
        <f t="shared" si="14"/>
        <v/>
      </c>
      <c r="AN22" s="104"/>
      <c r="AO22" s="105"/>
      <c r="AP22" s="103" t="str">
        <f t="shared" si="15"/>
        <v/>
      </c>
    </row>
    <row r="23" ht="19.5" customHeight="1">
      <c r="A23" s="89"/>
      <c r="B23" s="90"/>
      <c r="C23" s="100"/>
      <c r="D23" s="92" t="str">
        <f t="array" ref="D23">IFERROR(index(Grades, match($E23*100,GradeRange,-1), 1))</f>
        <v/>
      </c>
      <c r="E23" s="93">
        <f t="shared" si="10"/>
        <v>0</v>
      </c>
      <c r="F23" s="94"/>
      <c r="G23" s="101"/>
      <c r="H23" s="94"/>
      <c r="I23" s="101"/>
      <c r="J23" s="94"/>
      <c r="K23" s="102" t="str">
        <f t="shared" si="11"/>
        <v/>
      </c>
      <c r="L23" s="94"/>
      <c r="M23" s="101"/>
      <c r="N23" s="94"/>
      <c r="O23" s="101"/>
      <c r="P23" s="94"/>
      <c r="Q23" s="101"/>
      <c r="R23" s="101"/>
      <c r="S23" s="94"/>
      <c r="T23" s="101"/>
      <c r="U23" s="101"/>
      <c r="V23" s="103" t="str">
        <f t="shared" si="12"/>
        <v/>
      </c>
      <c r="W23" s="94"/>
      <c r="X23" s="101"/>
      <c r="Y23" s="94"/>
      <c r="Z23" s="101"/>
      <c r="AA23" s="94"/>
      <c r="AB23" s="101"/>
      <c r="AC23" s="101"/>
      <c r="AD23" s="94"/>
      <c r="AE23" s="101"/>
      <c r="AF23" s="101"/>
      <c r="AG23" s="103" t="str">
        <f t="shared" si="13"/>
        <v/>
      </c>
      <c r="AH23" s="94"/>
      <c r="AI23" s="101"/>
      <c r="AJ23" s="94"/>
      <c r="AK23" s="101"/>
      <c r="AL23" s="94"/>
      <c r="AM23" s="103" t="str">
        <f t="shared" si="14"/>
        <v/>
      </c>
      <c r="AN23" s="104"/>
      <c r="AO23" s="105"/>
      <c r="AP23" s="103" t="str">
        <f t="shared" si="15"/>
        <v/>
      </c>
    </row>
    <row r="24" ht="19.5" customHeight="1">
      <c r="A24" s="89"/>
      <c r="B24" s="90"/>
      <c r="C24" s="91"/>
      <c r="D24" s="92" t="str">
        <f t="array" ref="D24">IFERROR(index(Grades, match($E24*100,GradeRange,-1), 1))</f>
        <v/>
      </c>
      <c r="E24" s="93">
        <f t="shared" si="10"/>
        <v>0</v>
      </c>
      <c r="F24" s="94"/>
      <c r="G24" s="101"/>
      <c r="H24" s="94"/>
      <c r="I24" s="101"/>
      <c r="J24" s="94"/>
      <c r="K24" s="102" t="str">
        <f t="shared" si="11"/>
        <v/>
      </c>
      <c r="L24" s="94"/>
      <c r="M24" s="101"/>
      <c r="N24" s="94"/>
      <c r="O24" s="101"/>
      <c r="P24" s="94"/>
      <c r="Q24" s="101"/>
      <c r="R24" s="101"/>
      <c r="S24" s="94"/>
      <c r="T24" s="101"/>
      <c r="U24" s="101"/>
      <c r="V24" s="103" t="str">
        <f t="shared" si="12"/>
        <v/>
      </c>
      <c r="W24" s="94"/>
      <c r="X24" s="101"/>
      <c r="Y24" s="94"/>
      <c r="Z24" s="101"/>
      <c r="AA24" s="94"/>
      <c r="AB24" s="101"/>
      <c r="AC24" s="101"/>
      <c r="AD24" s="94"/>
      <c r="AE24" s="101"/>
      <c r="AF24" s="101"/>
      <c r="AG24" s="103" t="str">
        <f t="shared" si="13"/>
        <v/>
      </c>
      <c r="AH24" s="94"/>
      <c r="AI24" s="101"/>
      <c r="AJ24" s="94"/>
      <c r="AK24" s="101"/>
      <c r="AL24" s="94"/>
      <c r="AM24" s="103" t="str">
        <f t="shared" si="14"/>
        <v/>
      </c>
      <c r="AN24" s="104"/>
      <c r="AO24" s="105"/>
      <c r="AP24" s="103" t="str">
        <f t="shared" si="15"/>
        <v/>
      </c>
    </row>
    <row r="25" ht="19.5" customHeight="1">
      <c r="A25" s="89"/>
      <c r="B25" s="90"/>
      <c r="C25" s="100"/>
      <c r="D25" s="92" t="str">
        <f t="array" ref="D25">IFERROR(index(Grades, match($E25*100,GradeRange,-1), 1))</f>
        <v/>
      </c>
      <c r="E25" s="93">
        <f t="shared" si="10"/>
        <v>0</v>
      </c>
      <c r="F25" s="94"/>
      <c r="G25" s="101"/>
      <c r="H25" s="94"/>
      <c r="I25" s="101"/>
      <c r="J25" s="94"/>
      <c r="K25" s="102" t="str">
        <f t="shared" si="11"/>
        <v/>
      </c>
      <c r="L25" s="94"/>
      <c r="M25" s="101"/>
      <c r="N25" s="94"/>
      <c r="O25" s="101"/>
      <c r="P25" s="94"/>
      <c r="Q25" s="101"/>
      <c r="R25" s="101"/>
      <c r="S25" s="94"/>
      <c r="T25" s="101"/>
      <c r="U25" s="101"/>
      <c r="V25" s="103" t="str">
        <f t="shared" si="12"/>
        <v/>
      </c>
      <c r="W25" s="94"/>
      <c r="X25" s="101"/>
      <c r="Y25" s="94"/>
      <c r="Z25" s="101"/>
      <c r="AA25" s="94"/>
      <c r="AB25" s="101"/>
      <c r="AC25" s="101"/>
      <c r="AD25" s="94"/>
      <c r="AE25" s="101"/>
      <c r="AF25" s="101"/>
      <c r="AG25" s="103" t="str">
        <f t="shared" si="13"/>
        <v/>
      </c>
      <c r="AH25" s="94"/>
      <c r="AI25" s="101"/>
      <c r="AJ25" s="94"/>
      <c r="AK25" s="101"/>
      <c r="AL25" s="94"/>
      <c r="AM25" s="103" t="str">
        <f t="shared" si="14"/>
        <v/>
      </c>
      <c r="AN25" s="104"/>
      <c r="AO25" s="105"/>
      <c r="AP25" s="103" t="str">
        <f t="shared" si="15"/>
        <v/>
      </c>
    </row>
    <row r="26" ht="19.5" customHeight="1">
      <c r="A26" s="89"/>
      <c r="B26" s="90"/>
      <c r="C26" s="91"/>
      <c r="D26" s="92" t="str">
        <f t="array" ref="D26">IFERROR(index(Grades, match($E26*100,GradeRange,-1), 1))</f>
        <v/>
      </c>
      <c r="E26" s="93">
        <f t="shared" si="10"/>
        <v>0</v>
      </c>
      <c r="F26" s="94"/>
      <c r="G26" s="101"/>
      <c r="H26" s="94"/>
      <c r="I26" s="101"/>
      <c r="J26" s="94"/>
      <c r="K26" s="102" t="str">
        <f t="shared" si="11"/>
        <v/>
      </c>
      <c r="L26" s="94"/>
      <c r="M26" s="101"/>
      <c r="N26" s="94"/>
      <c r="O26" s="101"/>
      <c r="P26" s="94"/>
      <c r="Q26" s="101"/>
      <c r="R26" s="101"/>
      <c r="S26" s="94"/>
      <c r="T26" s="101"/>
      <c r="U26" s="101"/>
      <c r="V26" s="103" t="str">
        <f t="shared" si="12"/>
        <v/>
      </c>
      <c r="W26" s="94"/>
      <c r="X26" s="101"/>
      <c r="Y26" s="94"/>
      <c r="Z26" s="101"/>
      <c r="AA26" s="94"/>
      <c r="AB26" s="101"/>
      <c r="AC26" s="101"/>
      <c r="AD26" s="94"/>
      <c r="AE26" s="101"/>
      <c r="AF26" s="101"/>
      <c r="AG26" s="103" t="str">
        <f t="shared" si="13"/>
        <v/>
      </c>
      <c r="AH26" s="94"/>
      <c r="AI26" s="101"/>
      <c r="AJ26" s="94"/>
      <c r="AK26" s="101"/>
      <c r="AL26" s="94"/>
      <c r="AM26" s="103" t="str">
        <f t="shared" si="14"/>
        <v/>
      </c>
      <c r="AN26" s="104"/>
      <c r="AO26" s="105"/>
      <c r="AP26" s="103" t="str">
        <f t="shared" si="15"/>
        <v/>
      </c>
    </row>
    <row r="27" ht="19.5" customHeight="1">
      <c r="A27" s="89"/>
      <c r="B27" s="90"/>
      <c r="C27" s="100"/>
      <c r="D27" s="92" t="str">
        <f t="array" ref="D27">IFERROR(index(Grades, match($E27*100,GradeRange,-1), 1))</f>
        <v/>
      </c>
      <c r="E27" s="93">
        <f t="shared" si="10"/>
        <v>0</v>
      </c>
      <c r="F27" s="94"/>
      <c r="G27" s="101"/>
      <c r="H27" s="94"/>
      <c r="I27" s="101"/>
      <c r="J27" s="94"/>
      <c r="K27" s="102" t="str">
        <f t="shared" si="11"/>
        <v/>
      </c>
      <c r="L27" s="94"/>
      <c r="M27" s="101"/>
      <c r="N27" s="94"/>
      <c r="O27" s="101"/>
      <c r="P27" s="94"/>
      <c r="Q27" s="101"/>
      <c r="R27" s="101"/>
      <c r="S27" s="94"/>
      <c r="T27" s="101"/>
      <c r="U27" s="101"/>
      <c r="V27" s="103" t="str">
        <f t="shared" si="12"/>
        <v/>
      </c>
      <c r="W27" s="94"/>
      <c r="X27" s="101"/>
      <c r="Y27" s="94"/>
      <c r="Z27" s="101"/>
      <c r="AA27" s="94"/>
      <c r="AB27" s="101"/>
      <c r="AC27" s="101"/>
      <c r="AD27" s="94"/>
      <c r="AE27" s="101"/>
      <c r="AF27" s="101"/>
      <c r="AG27" s="103" t="str">
        <f t="shared" si="13"/>
        <v/>
      </c>
      <c r="AH27" s="94"/>
      <c r="AI27" s="101"/>
      <c r="AJ27" s="94"/>
      <c r="AK27" s="101"/>
      <c r="AL27" s="94"/>
      <c r="AM27" s="103" t="str">
        <f t="shared" si="14"/>
        <v/>
      </c>
      <c r="AN27" s="104"/>
      <c r="AO27" s="105"/>
      <c r="AP27" s="103" t="str">
        <f t="shared" si="15"/>
        <v/>
      </c>
    </row>
    <row r="28" ht="19.5" customHeight="1">
      <c r="A28" s="89"/>
      <c r="B28" s="90"/>
      <c r="C28" s="91"/>
      <c r="D28" s="92" t="str">
        <f t="array" ref="D28">IFERROR(index(Grades, match($E28*100,GradeRange,-1), 1))</f>
        <v/>
      </c>
      <c r="E28" s="93">
        <f t="shared" si="10"/>
        <v>0</v>
      </c>
      <c r="F28" s="94"/>
      <c r="G28" s="101"/>
      <c r="H28" s="94"/>
      <c r="I28" s="101"/>
      <c r="J28" s="94"/>
      <c r="K28" s="102" t="str">
        <f t="shared" si="11"/>
        <v/>
      </c>
      <c r="L28" s="94"/>
      <c r="M28" s="101"/>
      <c r="N28" s="94"/>
      <c r="O28" s="101"/>
      <c r="P28" s="94"/>
      <c r="Q28" s="101"/>
      <c r="R28" s="101"/>
      <c r="S28" s="94"/>
      <c r="T28" s="101"/>
      <c r="U28" s="101"/>
      <c r="V28" s="103" t="str">
        <f t="shared" si="12"/>
        <v/>
      </c>
      <c r="W28" s="94"/>
      <c r="X28" s="101"/>
      <c r="Y28" s="94"/>
      <c r="Z28" s="101"/>
      <c r="AA28" s="94"/>
      <c r="AB28" s="101"/>
      <c r="AC28" s="101"/>
      <c r="AD28" s="94"/>
      <c r="AE28" s="101"/>
      <c r="AF28" s="101"/>
      <c r="AG28" s="103" t="str">
        <f t="shared" si="13"/>
        <v/>
      </c>
      <c r="AH28" s="94"/>
      <c r="AI28" s="101"/>
      <c r="AJ28" s="94"/>
      <c r="AK28" s="101"/>
      <c r="AL28" s="94"/>
      <c r="AM28" s="103" t="str">
        <f t="shared" si="14"/>
        <v/>
      </c>
      <c r="AN28" s="104"/>
      <c r="AO28" s="105"/>
      <c r="AP28" s="103" t="str">
        <f t="shared" si="15"/>
        <v/>
      </c>
    </row>
    <row r="29" ht="19.5" customHeight="1">
      <c r="A29" s="89"/>
      <c r="B29" s="90"/>
      <c r="C29" s="100"/>
      <c r="D29" s="92" t="str">
        <f t="array" ref="D29">IFERROR(index(Grades, match($E29*100,GradeRange,-1), 1))</f>
        <v/>
      </c>
      <c r="E29" s="93">
        <f t="shared" si="10"/>
        <v>0</v>
      </c>
      <c r="F29" s="94"/>
      <c r="G29" s="101"/>
      <c r="H29" s="94"/>
      <c r="I29" s="101"/>
      <c r="J29" s="94"/>
      <c r="K29" s="102" t="str">
        <f t="shared" si="11"/>
        <v/>
      </c>
      <c r="L29" s="94"/>
      <c r="M29" s="101"/>
      <c r="N29" s="94"/>
      <c r="O29" s="101"/>
      <c r="P29" s="94"/>
      <c r="Q29" s="101"/>
      <c r="R29" s="101"/>
      <c r="S29" s="94"/>
      <c r="T29" s="101"/>
      <c r="U29" s="101"/>
      <c r="V29" s="103" t="str">
        <f t="shared" si="12"/>
        <v/>
      </c>
      <c r="W29" s="94"/>
      <c r="X29" s="101"/>
      <c r="Y29" s="94"/>
      <c r="Z29" s="101"/>
      <c r="AA29" s="94"/>
      <c r="AB29" s="101"/>
      <c r="AC29" s="101"/>
      <c r="AD29" s="94"/>
      <c r="AE29" s="101"/>
      <c r="AF29" s="101"/>
      <c r="AG29" s="103" t="str">
        <f t="shared" si="13"/>
        <v/>
      </c>
      <c r="AH29" s="94"/>
      <c r="AI29" s="101"/>
      <c r="AJ29" s="94"/>
      <c r="AK29" s="101"/>
      <c r="AL29" s="94"/>
      <c r="AM29" s="103" t="str">
        <f t="shared" si="14"/>
        <v/>
      </c>
      <c r="AN29" s="104"/>
      <c r="AO29" s="105"/>
      <c r="AP29" s="103" t="str">
        <f t="shared" si="15"/>
        <v/>
      </c>
    </row>
    <row r="30" ht="19.5" customHeight="1">
      <c r="A30" s="89"/>
      <c r="B30" s="90"/>
      <c r="C30" s="91"/>
      <c r="D30" s="92" t="str">
        <f t="array" ref="D30">IFERROR(index(Grades, match($E30*100,GradeRange,-1), 1))</f>
        <v/>
      </c>
      <c r="E30" s="93">
        <f t="shared" si="10"/>
        <v>0</v>
      </c>
      <c r="F30" s="94"/>
      <c r="G30" s="101"/>
      <c r="H30" s="94"/>
      <c r="I30" s="101"/>
      <c r="J30" s="94"/>
      <c r="K30" s="102" t="str">
        <f t="shared" si="11"/>
        <v/>
      </c>
      <c r="L30" s="94"/>
      <c r="M30" s="101"/>
      <c r="N30" s="94"/>
      <c r="O30" s="101"/>
      <c r="P30" s="94"/>
      <c r="Q30" s="101"/>
      <c r="R30" s="101"/>
      <c r="S30" s="94"/>
      <c r="T30" s="101"/>
      <c r="U30" s="101"/>
      <c r="V30" s="103" t="str">
        <f t="shared" si="12"/>
        <v/>
      </c>
      <c r="W30" s="94"/>
      <c r="X30" s="101"/>
      <c r="Y30" s="94"/>
      <c r="Z30" s="101"/>
      <c r="AA30" s="94"/>
      <c r="AB30" s="101"/>
      <c r="AC30" s="101"/>
      <c r="AD30" s="94"/>
      <c r="AE30" s="101"/>
      <c r="AF30" s="101"/>
      <c r="AG30" s="103" t="str">
        <f t="shared" si="13"/>
        <v/>
      </c>
      <c r="AH30" s="94"/>
      <c r="AI30" s="101"/>
      <c r="AJ30" s="94"/>
      <c r="AK30" s="101"/>
      <c r="AL30" s="94"/>
      <c r="AM30" s="103" t="str">
        <f t="shared" si="14"/>
        <v/>
      </c>
      <c r="AN30" s="104"/>
      <c r="AO30" s="105"/>
      <c r="AP30" s="103" t="str">
        <f t="shared" si="15"/>
        <v/>
      </c>
    </row>
    <row r="31" ht="19.5" customHeight="1">
      <c r="A31" s="89"/>
      <c r="B31" s="90"/>
      <c r="C31" s="100"/>
      <c r="D31" s="92" t="str">
        <f t="array" ref="D31">IFERROR(index(Grades, match($E31*100,GradeRange,-1), 1))</f>
        <v/>
      </c>
      <c r="E31" s="93">
        <f t="shared" si="10"/>
        <v>0</v>
      </c>
      <c r="F31" s="94"/>
      <c r="G31" s="101"/>
      <c r="H31" s="94"/>
      <c r="I31" s="101"/>
      <c r="J31" s="94"/>
      <c r="K31" s="102" t="str">
        <f t="shared" si="11"/>
        <v/>
      </c>
      <c r="L31" s="94"/>
      <c r="M31" s="101"/>
      <c r="N31" s="94"/>
      <c r="O31" s="101"/>
      <c r="P31" s="94"/>
      <c r="Q31" s="101"/>
      <c r="R31" s="101"/>
      <c r="S31" s="94"/>
      <c r="T31" s="101"/>
      <c r="U31" s="101"/>
      <c r="V31" s="103" t="str">
        <f t="shared" si="12"/>
        <v/>
      </c>
      <c r="W31" s="94"/>
      <c r="X31" s="101"/>
      <c r="Y31" s="94"/>
      <c r="Z31" s="101"/>
      <c r="AA31" s="94"/>
      <c r="AB31" s="101"/>
      <c r="AC31" s="101"/>
      <c r="AD31" s="94"/>
      <c r="AE31" s="101"/>
      <c r="AF31" s="101"/>
      <c r="AG31" s="103" t="str">
        <f t="shared" si="13"/>
        <v/>
      </c>
      <c r="AH31" s="94"/>
      <c r="AI31" s="101"/>
      <c r="AJ31" s="94"/>
      <c r="AK31" s="101"/>
      <c r="AL31" s="94"/>
      <c r="AM31" s="103" t="str">
        <f t="shared" si="14"/>
        <v/>
      </c>
      <c r="AN31" s="104"/>
      <c r="AO31" s="105"/>
      <c r="AP31" s="103" t="str">
        <f t="shared" si="15"/>
        <v/>
      </c>
    </row>
    <row r="32" ht="19.5" customHeight="1">
      <c r="A32" s="106"/>
      <c r="B32" s="90"/>
      <c r="C32" s="91"/>
      <c r="D32" s="92" t="str">
        <f t="array" ref="D32">IFERROR(index(Grades, match($E32*100,GradeRange,-1), 1))</f>
        <v/>
      </c>
      <c r="E32" s="93">
        <f t="shared" si="10"/>
        <v>0</v>
      </c>
      <c r="F32" s="94"/>
      <c r="G32" s="101"/>
      <c r="H32" s="94"/>
      <c r="I32" s="101"/>
      <c r="J32" s="94"/>
      <c r="K32" s="102" t="str">
        <f t="shared" si="11"/>
        <v/>
      </c>
      <c r="L32" s="94"/>
      <c r="M32" s="101"/>
      <c r="N32" s="94"/>
      <c r="O32" s="101"/>
      <c r="P32" s="94"/>
      <c r="Q32" s="101"/>
      <c r="R32" s="101"/>
      <c r="S32" s="94"/>
      <c r="T32" s="101"/>
      <c r="U32" s="101"/>
      <c r="V32" s="102" t="str">
        <f t="shared" si="12"/>
        <v/>
      </c>
      <c r="W32" s="94"/>
      <c r="X32" s="101"/>
      <c r="Y32" s="94"/>
      <c r="Z32" s="101"/>
      <c r="AA32" s="94"/>
      <c r="AB32" s="101"/>
      <c r="AC32" s="101"/>
      <c r="AD32" s="94"/>
      <c r="AE32" s="101"/>
      <c r="AF32" s="101"/>
      <c r="AG32" s="102" t="str">
        <f t="shared" si="13"/>
        <v/>
      </c>
      <c r="AH32" s="94"/>
      <c r="AI32" s="101"/>
      <c r="AJ32" s="94"/>
      <c r="AK32" s="101"/>
      <c r="AL32" s="94"/>
      <c r="AM32" s="102" t="str">
        <f t="shared" si="14"/>
        <v/>
      </c>
      <c r="AN32" s="107"/>
      <c r="AO32" s="108"/>
      <c r="AP32" s="102" t="str">
        <f t="shared" si="15"/>
        <v/>
      </c>
    </row>
    <row r="33" ht="19.5" customHeight="1">
      <c r="A33" s="106"/>
      <c r="B33" s="90"/>
      <c r="C33" s="100"/>
      <c r="D33" s="92" t="str">
        <f t="array" ref="D33">IFERROR(index(Grades, match($E33*100,GradeRange,-1), 1))</f>
        <v/>
      </c>
      <c r="E33" s="93">
        <f t="shared" si="10"/>
        <v>0</v>
      </c>
      <c r="F33" s="94"/>
      <c r="G33" s="101"/>
      <c r="H33" s="94"/>
      <c r="I33" s="101"/>
      <c r="J33" s="94"/>
      <c r="K33" s="102" t="str">
        <f t="shared" si="11"/>
        <v/>
      </c>
      <c r="L33" s="94"/>
      <c r="M33" s="101"/>
      <c r="N33" s="94"/>
      <c r="O33" s="101"/>
      <c r="P33" s="94"/>
      <c r="Q33" s="101"/>
      <c r="R33" s="101"/>
      <c r="S33" s="94"/>
      <c r="T33" s="101"/>
      <c r="U33" s="101"/>
      <c r="V33" s="102" t="str">
        <f t="shared" si="12"/>
        <v/>
      </c>
      <c r="W33" s="94"/>
      <c r="X33" s="101"/>
      <c r="Y33" s="94"/>
      <c r="Z33" s="101"/>
      <c r="AA33" s="94"/>
      <c r="AB33" s="101"/>
      <c r="AC33" s="101"/>
      <c r="AD33" s="94"/>
      <c r="AE33" s="101"/>
      <c r="AF33" s="101"/>
      <c r="AG33" s="102" t="str">
        <f t="shared" si="13"/>
        <v/>
      </c>
      <c r="AH33" s="94"/>
      <c r="AI33" s="101"/>
      <c r="AJ33" s="94"/>
      <c r="AK33" s="101"/>
      <c r="AL33" s="94"/>
      <c r="AM33" s="102" t="str">
        <f t="shared" si="14"/>
        <v/>
      </c>
      <c r="AN33" s="107"/>
      <c r="AO33" s="108"/>
      <c r="AP33" s="102" t="str">
        <f t="shared" si="15"/>
        <v/>
      </c>
    </row>
    <row r="34" ht="19.5" customHeight="1">
      <c r="A34" s="106"/>
      <c r="B34" s="90"/>
      <c r="C34" s="91"/>
      <c r="D34" s="92" t="str">
        <f t="array" ref="D34">IFERROR(index(Grades, match($E34*100,GradeRange,-1), 1))</f>
        <v/>
      </c>
      <c r="E34" s="93">
        <f t="shared" si="10"/>
        <v>0</v>
      </c>
      <c r="F34" s="38"/>
      <c r="G34" s="109"/>
      <c r="H34" s="38"/>
      <c r="I34" s="109"/>
      <c r="J34" s="38"/>
      <c r="K34" s="102" t="str">
        <f t="shared" si="11"/>
        <v/>
      </c>
      <c r="L34" s="38"/>
      <c r="M34" s="109"/>
      <c r="N34" s="38"/>
      <c r="O34" s="109"/>
      <c r="P34" s="38"/>
      <c r="Q34" s="109"/>
      <c r="R34" s="109"/>
      <c r="S34" s="38"/>
      <c r="T34" s="109"/>
      <c r="U34" s="109"/>
      <c r="V34" s="102" t="str">
        <f t="shared" si="12"/>
        <v/>
      </c>
      <c r="W34" s="38"/>
      <c r="X34" s="109"/>
      <c r="Y34" s="38"/>
      <c r="Z34" s="109"/>
      <c r="AA34" s="38"/>
      <c r="AB34" s="109"/>
      <c r="AC34" s="109"/>
      <c r="AD34" s="38"/>
      <c r="AE34" s="109"/>
      <c r="AF34" s="109"/>
      <c r="AG34" s="102" t="str">
        <f t="shared" si="13"/>
        <v/>
      </c>
      <c r="AH34" s="38"/>
      <c r="AI34" s="109"/>
      <c r="AJ34" s="38"/>
      <c r="AK34" s="109"/>
      <c r="AL34" s="38"/>
      <c r="AM34" s="102" t="str">
        <f t="shared" si="14"/>
        <v/>
      </c>
      <c r="AN34" s="107"/>
      <c r="AO34" s="108"/>
      <c r="AP34" s="102" t="str">
        <f t="shared" si="15"/>
        <v/>
      </c>
    </row>
    <row r="35" ht="19.5" customHeight="1">
      <c r="A35" s="106"/>
      <c r="B35" s="90"/>
      <c r="C35" s="110"/>
      <c r="D35" s="92" t="str">
        <f t="array" ref="D35">IFERROR(index(Grades, match($E35*100,GradeRange,-1), 1))</f>
        <v/>
      </c>
      <c r="E35" s="93">
        <f t="shared" si="10"/>
        <v>0</v>
      </c>
      <c r="F35" s="38"/>
      <c r="G35" s="109"/>
      <c r="H35" s="38"/>
      <c r="I35" s="109"/>
      <c r="J35" s="38"/>
      <c r="K35" s="102" t="str">
        <f t="shared" si="11"/>
        <v/>
      </c>
      <c r="L35" s="38"/>
      <c r="M35" s="109"/>
      <c r="N35" s="38"/>
      <c r="O35" s="109"/>
      <c r="P35" s="38"/>
      <c r="Q35" s="109"/>
      <c r="R35" s="109"/>
      <c r="S35" s="38"/>
      <c r="T35" s="109"/>
      <c r="U35" s="109"/>
      <c r="V35" s="102" t="str">
        <f t="shared" si="12"/>
        <v/>
      </c>
      <c r="W35" s="38"/>
      <c r="X35" s="109"/>
      <c r="Y35" s="38"/>
      <c r="Z35" s="109"/>
      <c r="AA35" s="38"/>
      <c r="AB35" s="109"/>
      <c r="AC35" s="109"/>
      <c r="AD35" s="38"/>
      <c r="AE35" s="109"/>
      <c r="AF35" s="109"/>
      <c r="AG35" s="102" t="str">
        <f t="shared" si="13"/>
        <v/>
      </c>
      <c r="AH35" s="38"/>
      <c r="AI35" s="109"/>
      <c r="AJ35" s="38"/>
      <c r="AK35" s="109"/>
      <c r="AL35" s="38"/>
      <c r="AM35" s="102" t="str">
        <f t="shared" si="14"/>
        <v/>
      </c>
      <c r="AN35" s="107"/>
      <c r="AO35" s="108"/>
      <c r="AP35" s="102" t="str">
        <f t="shared" si="15"/>
        <v/>
      </c>
    </row>
    <row r="36" ht="19.5" customHeight="1">
      <c r="A36" s="106"/>
      <c r="B36" s="90"/>
      <c r="C36" s="110"/>
      <c r="D36" s="92" t="str">
        <f t="array" ref="D36">IFERROR(index(Grades, match($E36*100,GradeRange,-1), 1))</f>
        <v/>
      </c>
      <c r="E36" s="93">
        <f t="shared" si="10"/>
        <v>0</v>
      </c>
      <c r="F36" s="38"/>
      <c r="G36" s="109"/>
      <c r="H36" s="38"/>
      <c r="I36" s="109"/>
      <c r="J36" s="38"/>
      <c r="K36" s="102" t="str">
        <f t="shared" si="11"/>
        <v/>
      </c>
      <c r="L36" s="38"/>
      <c r="M36" s="109"/>
      <c r="N36" s="38"/>
      <c r="O36" s="109"/>
      <c r="P36" s="38"/>
      <c r="Q36" s="109"/>
      <c r="R36" s="109"/>
      <c r="S36" s="38"/>
      <c r="T36" s="109"/>
      <c r="U36" s="109"/>
      <c r="V36" s="102" t="str">
        <f t="shared" si="12"/>
        <v/>
      </c>
      <c r="W36" s="38"/>
      <c r="X36" s="109"/>
      <c r="Y36" s="38"/>
      <c r="Z36" s="109"/>
      <c r="AA36" s="38"/>
      <c r="AB36" s="109"/>
      <c r="AC36" s="109"/>
      <c r="AD36" s="38"/>
      <c r="AE36" s="109"/>
      <c r="AF36" s="109"/>
      <c r="AG36" s="102" t="str">
        <f t="shared" si="13"/>
        <v/>
      </c>
      <c r="AH36" s="38"/>
      <c r="AI36" s="109"/>
      <c r="AJ36" s="38"/>
      <c r="AK36" s="109"/>
      <c r="AL36" s="38"/>
      <c r="AM36" s="102" t="str">
        <f t="shared" si="14"/>
        <v/>
      </c>
      <c r="AN36" s="107"/>
      <c r="AO36" s="108"/>
      <c r="AP36" s="102" t="str">
        <f t="shared" si="15"/>
        <v/>
      </c>
    </row>
    <row r="37" ht="19.5" customHeight="1">
      <c r="A37" s="106"/>
      <c r="B37" s="90"/>
      <c r="C37" s="110"/>
      <c r="D37" s="92" t="str">
        <f t="array" ref="D37">IFERROR(index(Grades, match($E37*100,GradeRange,-1), 1))</f>
        <v/>
      </c>
      <c r="E37" s="93">
        <f t="shared" si="10"/>
        <v>0</v>
      </c>
      <c r="F37" s="38"/>
      <c r="G37" s="111"/>
      <c r="H37" s="38"/>
      <c r="I37" s="111"/>
      <c r="J37" s="38"/>
      <c r="K37" s="112" t="str">
        <f t="shared" si="11"/>
        <v/>
      </c>
      <c r="L37" s="38"/>
      <c r="M37" s="111"/>
      <c r="N37" s="38"/>
      <c r="O37" s="111"/>
      <c r="P37" s="38"/>
      <c r="Q37" s="111"/>
      <c r="R37" s="111"/>
      <c r="S37" s="38"/>
      <c r="T37" s="111"/>
      <c r="U37" s="111"/>
      <c r="V37" s="112" t="str">
        <f t="shared" si="12"/>
        <v/>
      </c>
      <c r="W37" s="38"/>
      <c r="X37" s="111"/>
      <c r="Y37" s="38"/>
      <c r="Z37" s="111"/>
      <c r="AA37" s="38"/>
      <c r="AB37" s="111"/>
      <c r="AC37" s="111"/>
      <c r="AD37" s="38"/>
      <c r="AE37" s="111"/>
      <c r="AF37" s="111"/>
      <c r="AG37" s="112" t="str">
        <f t="shared" si="13"/>
        <v/>
      </c>
      <c r="AH37" s="38"/>
      <c r="AI37" s="111"/>
      <c r="AJ37" s="38"/>
      <c r="AK37" s="111"/>
      <c r="AL37" s="38"/>
      <c r="AM37" s="112" t="str">
        <f t="shared" si="14"/>
        <v/>
      </c>
      <c r="AN37" s="113"/>
      <c r="AO37" s="114"/>
      <c r="AP37" s="112" t="str">
        <f t="shared" si="15"/>
        <v/>
      </c>
    </row>
    <row r="38" ht="17.25" customHeight="1">
      <c r="A38" s="115"/>
      <c r="B38" s="116"/>
      <c r="C38" s="117">
        <f>COUNTA(C8:C37)</f>
        <v>0</v>
      </c>
      <c r="D38" s="116"/>
      <c r="E38" s="118"/>
      <c r="F38" s="119">
        <f t="shared" ref="F38:AF38" si="16">IF(OR(COUNT(F8:F37)=$C$38,COUNT(F8:F37)=0),0,1)</f>
        <v>0</v>
      </c>
      <c r="G38" s="119">
        <f t="shared" si="16"/>
        <v>0</v>
      </c>
      <c r="H38" s="119">
        <f t="shared" si="16"/>
        <v>0</v>
      </c>
      <c r="I38" s="119">
        <f t="shared" si="16"/>
        <v>0</v>
      </c>
      <c r="J38" s="119">
        <f t="shared" si="16"/>
        <v>0</v>
      </c>
      <c r="K38" s="119">
        <f t="shared" si="16"/>
        <v>0</v>
      </c>
      <c r="L38" s="119">
        <f t="shared" si="16"/>
        <v>0</v>
      </c>
      <c r="M38" s="119">
        <f t="shared" si="16"/>
        <v>0</v>
      </c>
      <c r="N38" s="119">
        <f t="shared" si="16"/>
        <v>0</v>
      </c>
      <c r="O38" s="119">
        <f t="shared" si="16"/>
        <v>0</v>
      </c>
      <c r="P38" s="119">
        <f t="shared" si="16"/>
        <v>0</v>
      </c>
      <c r="Q38" s="119">
        <f t="shared" si="16"/>
        <v>0</v>
      </c>
      <c r="R38" s="119">
        <f t="shared" si="16"/>
        <v>0</v>
      </c>
      <c r="S38" s="119">
        <f t="shared" si="16"/>
        <v>0</v>
      </c>
      <c r="T38" s="119">
        <f t="shared" si="16"/>
        <v>0</v>
      </c>
      <c r="U38" s="119">
        <f t="shared" si="16"/>
        <v>0</v>
      </c>
      <c r="V38" s="119">
        <f t="shared" si="16"/>
        <v>0</v>
      </c>
      <c r="W38" s="119">
        <f t="shared" si="16"/>
        <v>0</v>
      </c>
      <c r="X38" s="119">
        <f t="shared" si="16"/>
        <v>0</v>
      </c>
      <c r="Y38" s="119">
        <f t="shared" si="16"/>
        <v>0</v>
      </c>
      <c r="Z38" s="119">
        <f t="shared" si="16"/>
        <v>0</v>
      </c>
      <c r="AA38" s="119">
        <f t="shared" si="16"/>
        <v>0</v>
      </c>
      <c r="AB38" s="119">
        <f t="shared" si="16"/>
        <v>0</v>
      </c>
      <c r="AC38" s="119">
        <f t="shared" si="16"/>
        <v>0</v>
      </c>
      <c r="AD38" s="119">
        <f t="shared" si="16"/>
        <v>0</v>
      </c>
      <c r="AE38" s="119">
        <f t="shared" si="16"/>
        <v>0</v>
      </c>
      <c r="AF38" s="119">
        <f t="shared" si="16"/>
        <v>0</v>
      </c>
      <c r="AG38" s="119"/>
      <c r="AH38" s="119">
        <f t="shared" ref="AH38:AL38" si="17">IF(OR(COUNT(AH8:AH37)=$C$38,COUNT(AH8:AH37)=0),0,1)</f>
        <v>0</v>
      </c>
      <c r="AI38" s="119">
        <f t="shared" si="17"/>
        <v>0</v>
      </c>
      <c r="AJ38" s="119">
        <f t="shared" si="17"/>
        <v>0</v>
      </c>
      <c r="AK38" s="119">
        <f t="shared" si="17"/>
        <v>0</v>
      </c>
      <c r="AL38" s="119">
        <f t="shared" si="17"/>
        <v>0</v>
      </c>
      <c r="AM38" s="119"/>
      <c r="AN38" s="119">
        <f t="shared" ref="AN38:AO38" si="18">IF(OR(COUNT(AN8:AN37)=$C$38,COUNT(AN8:AN37)=0),0,1)</f>
        <v>0</v>
      </c>
      <c r="AO38" s="119">
        <f t="shared" si="18"/>
        <v>0</v>
      </c>
      <c r="AP38" s="119">
        <f>SUM(F38:AO38)</f>
        <v>0</v>
      </c>
    </row>
    <row r="39" ht="17.25" customHeight="1">
      <c r="A39" s="120"/>
      <c r="B39" s="121" t="s">
        <v>39</v>
      </c>
      <c r="F39" s="122">
        <f t="shared" ref="F39:AP39" si="19">IFERROR(MEDIAN(F8:F37),0)</f>
        <v>0</v>
      </c>
      <c r="G39" s="122">
        <f t="shared" si="19"/>
        <v>0</v>
      </c>
      <c r="H39" s="122">
        <f t="shared" si="19"/>
        <v>0</v>
      </c>
      <c r="I39" s="122">
        <f t="shared" si="19"/>
        <v>0</v>
      </c>
      <c r="J39" s="122">
        <f t="shared" si="19"/>
        <v>0</v>
      </c>
      <c r="K39" s="122">
        <f t="shared" si="19"/>
        <v>0</v>
      </c>
      <c r="L39" s="122">
        <f t="shared" si="19"/>
        <v>0</v>
      </c>
      <c r="M39" s="122">
        <f t="shared" si="19"/>
        <v>0</v>
      </c>
      <c r="N39" s="122">
        <f t="shared" si="19"/>
        <v>0</v>
      </c>
      <c r="O39" s="122">
        <f t="shared" si="19"/>
        <v>0</v>
      </c>
      <c r="P39" s="122">
        <f t="shared" si="19"/>
        <v>0</v>
      </c>
      <c r="Q39" s="122">
        <f t="shared" si="19"/>
        <v>0</v>
      </c>
      <c r="R39" s="122">
        <f t="shared" si="19"/>
        <v>0</v>
      </c>
      <c r="S39" s="122">
        <f t="shared" si="19"/>
        <v>0</v>
      </c>
      <c r="T39" s="122">
        <f t="shared" si="19"/>
        <v>0</v>
      </c>
      <c r="U39" s="122">
        <f t="shared" si="19"/>
        <v>0</v>
      </c>
      <c r="V39" s="122">
        <f t="shared" si="19"/>
        <v>0</v>
      </c>
      <c r="W39" s="122">
        <f t="shared" si="19"/>
        <v>0</v>
      </c>
      <c r="X39" s="122">
        <f t="shared" si="19"/>
        <v>0</v>
      </c>
      <c r="Y39" s="122">
        <f t="shared" si="19"/>
        <v>0</v>
      </c>
      <c r="Z39" s="122">
        <f t="shared" si="19"/>
        <v>0</v>
      </c>
      <c r="AA39" s="122">
        <f t="shared" si="19"/>
        <v>0</v>
      </c>
      <c r="AB39" s="122">
        <f t="shared" si="19"/>
        <v>0</v>
      </c>
      <c r="AC39" s="122">
        <f t="shared" si="19"/>
        <v>0</v>
      </c>
      <c r="AD39" s="122">
        <f t="shared" si="19"/>
        <v>0</v>
      </c>
      <c r="AE39" s="122">
        <f t="shared" si="19"/>
        <v>0</v>
      </c>
      <c r="AF39" s="122">
        <f t="shared" si="19"/>
        <v>0</v>
      </c>
      <c r="AG39" s="122">
        <f t="shared" si="19"/>
        <v>0</v>
      </c>
      <c r="AH39" s="122">
        <f t="shared" si="19"/>
        <v>0</v>
      </c>
      <c r="AI39" s="122">
        <f t="shared" si="19"/>
        <v>0</v>
      </c>
      <c r="AJ39" s="122">
        <f t="shared" si="19"/>
        <v>0</v>
      </c>
      <c r="AK39" s="122">
        <f t="shared" si="19"/>
        <v>0</v>
      </c>
      <c r="AL39" s="122">
        <f t="shared" si="19"/>
        <v>0</v>
      </c>
      <c r="AM39" s="122">
        <f t="shared" si="19"/>
        <v>0</v>
      </c>
      <c r="AN39" s="122">
        <f t="shared" si="19"/>
        <v>0</v>
      </c>
      <c r="AO39" s="122">
        <f t="shared" si="19"/>
        <v>0</v>
      </c>
      <c r="AP39" s="122">
        <f t="shared" si="19"/>
        <v>0</v>
      </c>
    </row>
    <row r="40" ht="17.25" customHeight="1">
      <c r="A40" s="120"/>
      <c r="B40" s="123" t="s">
        <v>40</v>
      </c>
      <c r="F40" s="124">
        <f t="shared" ref="F40:AP40" si="20">MAX(F8:F37)</f>
        <v>0</v>
      </c>
      <c r="G40" s="124">
        <f t="shared" si="20"/>
        <v>0</v>
      </c>
      <c r="H40" s="124">
        <f t="shared" si="20"/>
        <v>0</v>
      </c>
      <c r="I40" s="124">
        <f t="shared" si="20"/>
        <v>0</v>
      </c>
      <c r="J40" s="124">
        <f t="shared" si="20"/>
        <v>0</v>
      </c>
      <c r="K40" s="124">
        <f t="shared" si="20"/>
        <v>0</v>
      </c>
      <c r="L40" s="124">
        <f t="shared" si="20"/>
        <v>0</v>
      </c>
      <c r="M40" s="124">
        <f t="shared" si="20"/>
        <v>0</v>
      </c>
      <c r="N40" s="124">
        <f t="shared" si="20"/>
        <v>0</v>
      </c>
      <c r="O40" s="124">
        <f t="shared" si="20"/>
        <v>0</v>
      </c>
      <c r="P40" s="124">
        <f t="shared" si="20"/>
        <v>0</v>
      </c>
      <c r="Q40" s="124">
        <f t="shared" si="20"/>
        <v>0</v>
      </c>
      <c r="R40" s="124">
        <f t="shared" si="20"/>
        <v>0</v>
      </c>
      <c r="S40" s="124">
        <f t="shared" si="20"/>
        <v>0</v>
      </c>
      <c r="T40" s="124">
        <f t="shared" si="20"/>
        <v>0</v>
      </c>
      <c r="U40" s="124">
        <f t="shared" si="20"/>
        <v>0</v>
      </c>
      <c r="V40" s="124">
        <f t="shared" si="20"/>
        <v>0</v>
      </c>
      <c r="W40" s="124">
        <f t="shared" si="20"/>
        <v>0</v>
      </c>
      <c r="X40" s="124">
        <f t="shared" si="20"/>
        <v>0</v>
      </c>
      <c r="Y40" s="124">
        <f t="shared" si="20"/>
        <v>0</v>
      </c>
      <c r="Z40" s="124">
        <f t="shared" si="20"/>
        <v>0</v>
      </c>
      <c r="AA40" s="124">
        <f t="shared" si="20"/>
        <v>0</v>
      </c>
      <c r="AB40" s="124">
        <f t="shared" si="20"/>
        <v>0</v>
      </c>
      <c r="AC40" s="124">
        <f t="shared" si="20"/>
        <v>0</v>
      </c>
      <c r="AD40" s="124">
        <f t="shared" si="20"/>
        <v>0</v>
      </c>
      <c r="AE40" s="124">
        <f t="shared" si="20"/>
        <v>0</v>
      </c>
      <c r="AF40" s="124">
        <f t="shared" si="20"/>
        <v>0</v>
      </c>
      <c r="AG40" s="124">
        <f t="shared" si="20"/>
        <v>0</v>
      </c>
      <c r="AH40" s="124">
        <f t="shared" si="20"/>
        <v>0</v>
      </c>
      <c r="AI40" s="124">
        <f t="shared" si="20"/>
        <v>0</v>
      </c>
      <c r="AJ40" s="124">
        <f t="shared" si="20"/>
        <v>0</v>
      </c>
      <c r="AK40" s="124">
        <f t="shared" si="20"/>
        <v>0</v>
      </c>
      <c r="AL40" s="124">
        <f t="shared" si="20"/>
        <v>0</v>
      </c>
      <c r="AM40" s="124">
        <f t="shared" si="20"/>
        <v>0</v>
      </c>
      <c r="AN40" s="124">
        <f t="shared" si="20"/>
        <v>0</v>
      </c>
      <c r="AO40" s="124">
        <f t="shared" si="20"/>
        <v>0</v>
      </c>
      <c r="AP40" s="124">
        <f t="shared" si="20"/>
        <v>0</v>
      </c>
    </row>
    <row r="41" ht="17.25" customHeight="1">
      <c r="A41" s="125">
        <v>1.0</v>
      </c>
      <c r="B41" s="121" t="s">
        <v>41</v>
      </c>
      <c r="F41" s="122">
        <f t="shared" ref="F41:AP41" si="21">MIN(F9:F37)</f>
        <v>0</v>
      </c>
      <c r="G41" s="122">
        <f t="shared" si="21"/>
        <v>0</v>
      </c>
      <c r="H41" s="122">
        <f t="shared" si="21"/>
        <v>0</v>
      </c>
      <c r="I41" s="122">
        <f t="shared" si="21"/>
        <v>0</v>
      </c>
      <c r="J41" s="122">
        <f t="shared" si="21"/>
        <v>0</v>
      </c>
      <c r="K41" s="122">
        <f t="shared" si="21"/>
        <v>0</v>
      </c>
      <c r="L41" s="122">
        <f t="shared" si="21"/>
        <v>0</v>
      </c>
      <c r="M41" s="122">
        <f t="shared" si="21"/>
        <v>0</v>
      </c>
      <c r="N41" s="122">
        <f t="shared" si="21"/>
        <v>0</v>
      </c>
      <c r="O41" s="122">
        <f t="shared" si="21"/>
        <v>0</v>
      </c>
      <c r="P41" s="122">
        <f t="shared" si="21"/>
        <v>0</v>
      </c>
      <c r="Q41" s="122">
        <f t="shared" si="21"/>
        <v>0</v>
      </c>
      <c r="R41" s="122">
        <f t="shared" si="21"/>
        <v>0</v>
      </c>
      <c r="S41" s="122">
        <f t="shared" si="21"/>
        <v>0</v>
      </c>
      <c r="T41" s="122">
        <f t="shared" si="21"/>
        <v>0</v>
      </c>
      <c r="U41" s="122">
        <f t="shared" si="21"/>
        <v>0</v>
      </c>
      <c r="V41" s="122">
        <f t="shared" si="21"/>
        <v>0</v>
      </c>
      <c r="W41" s="122">
        <f t="shared" si="21"/>
        <v>0</v>
      </c>
      <c r="X41" s="122">
        <f t="shared" si="21"/>
        <v>0</v>
      </c>
      <c r="Y41" s="122">
        <f t="shared" si="21"/>
        <v>0</v>
      </c>
      <c r="Z41" s="122">
        <f t="shared" si="21"/>
        <v>0</v>
      </c>
      <c r="AA41" s="122">
        <f t="shared" si="21"/>
        <v>0</v>
      </c>
      <c r="AB41" s="122">
        <f t="shared" si="21"/>
        <v>0</v>
      </c>
      <c r="AC41" s="122">
        <f t="shared" si="21"/>
        <v>0</v>
      </c>
      <c r="AD41" s="122">
        <f t="shared" si="21"/>
        <v>0</v>
      </c>
      <c r="AE41" s="122">
        <f t="shared" si="21"/>
        <v>0</v>
      </c>
      <c r="AF41" s="122">
        <f t="shared" si="21"/>
        <v>0</v>
      </c>
      <c r="AG41" s="122">
        <f t="shared" si="21"/>
        <v>0</v>
      </c>
      <c r="AH41" s="122">
        <f t="shared" si="21"/>
        <v>0</v>
      </c>
      <c r="AI41" s="122">
        <f t="shared" si="21"/>
        <v>0</v>
      </c>
      <c r="AJ41" s="122">
        <f t="shared" si="21"/>
        <v>0</v>
      </c>
      <c r="AK41" s="122">
        <f t="shared" si="21"/>
        <v>0</v>
      </c>
      <c r="AL41" s="122">
        <f t="shared" si="21"/>
        <v>0</v>
      </c>
      <c r="AM41" s="122">
        <f t="shared" si="21"/>
        <v>0</v>
      </c>
      <c r="AN41" s="122">
        <f t="shared" si="21"/>
        <v>0</v>
      </c>
      <c r="AO41" s="122">
        <f t="shared" si="21"/>
        <v>0</v>
      </c>
      <c r="AP41" s="122">
        <f t="shared" si="21"/>
        <v>0</v>
      </c>
    </row>
  </sheetData>
  <mergeCells count="12">
    <mergeCell ref="B3:D3"/>
    <mergeCell ref="B4:D4"/>
    <mergeCell ref="B39:E39"/>
    <mergeCell ref="B40:E40"/>
    <mergeCell ref="B41:E41"/>
    <mergeCell ref="F1:K1"/>
    <mergeCell ref="L1:V1"/>
    <mergeCell ref="W1:AG1"/>
    <mergeCell ref="AH1:AM1"/>
    <mergeCell ref="AN1:AO1"/>
    <mergeCell ref="AN3:AO3"/>
    <mergeCell ref="AP3:AP5"/>
  </mergeCells>
  <conditionalFormatting sqref="A8:AP37">
    <cfRule type="expression" dxfId="0" priority="1">
      <formula>iseven(row())</formula>
    </cfRule>
  </conditionalFormatting>
  <dataValidations>
    <dataValidation type="decimal" allowBlank="1" showDropDown="1" showInputMessage="1" showErrorMessage="1" prompt="Introduce un número. entre 0 y 100" sqref="F8:J37 L8:U37 W8:AF37 AH8:AL37">
      <formula1>0.0</formula1>
      <formula2>100.0</formula2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5.0" ySplit="5.0" topLeftCell="F6" activePane="bottomRight" state="frozen"/>
      <selection activeCell="F1" sqref="F1" pane="topRight"/>
      <selection activeCell="A6" sqref="A6" pane="bottomLeft"/>
      <selection activeCell="F6" sqref="F6" pane="bottomRight"/>
    </sheetView>
  </sheetViews>
  <sheetFormatPr customHeight="1" defaultColWidth="14.43" defaultRowHeight="15.75"/>
  <cols>
    <col customWidth="1" min="1" max="1" width="0.43"/>
    <col customWidth="1" min="2" max="2" width="3.86"/>
    <col customWidth="1" min="3" max="3" width="38.43"/>
    <col customWidth="1" min="4" max="4" width="6.57"/>
    <col customWidth="1" min="5" max="5" width="8.14"/>
    <col customWidth="1" min="6" max="39" width="11.43"/>
    <col customWidth="1" min="40" max="41" width="10.71"/>
    <col customWidth="1" min="42" max="42" width="11.43"/>
  </cols>
  <sheetData>
    <row r="1" ht="28.5" customHeight="1">
      <c r="A1" s="44"/>
      <c r="B1" s="44"/>
      <c r="C1" s="45" t="s">
        <v>42</v>
      </c>
      <c r="D1" s="46"/>
      <c r="E1" s="47"/>
      <c r="F1" s="45" t="s">
        <v>22</v>
      </c>
      <c r="L1" s="45" t="s">
        <v>23</v>
      </c>
      <c r="W1" s="45" t="s">
        <v>24</v>
      </c>
      <c r="AH1" s="45" t="s">
        <v>25</v>
      </c>
      <c r="AN1" s="48" t="s">
        <v>26</v>
      </c>
      <c r="AP1" s="48" t="s">
        <v>27</v>
      </c>
    </row>
    <row r="2" ht="1.5" customHeight="1">
      <c r="A2" s="49"/>
      <c r="B2" s="49"/>
      <c r="C2" s="49"/>
      <c r="D2" s="50"/>
      <c r="E2" s="50"/>
      <c r="F2" s="51">
        <f t="shared" ref="F2:J2" si="1">IF(COUNT(F8:F37)=0,IF(F4="",0,1),IF(F4="",1,0))</f>
        <v>0</v>
      </c>
      <c r="G2" s="51">
        <f t="shared" si="1"/>
        <v>0</v>
      </c>
      <c r="H2" s="51">
        <f t="shared" si="1"/>
        <v>0</v>
      </c>
      <c r="I2" s="51">
        <f t="shared" si="1"/>
        <v>0</v>
      </c>
      <c r="J2" s="51">
        <f t="shared" si="1"/>
        <v>0</v>
      </c>
      <c r="K2" s="51"/>
      <c r="L2" s="51">
        <f t="shared" ref="L2:U2" si="2">IF(COUNT(L8:L37)=0,IF(L4="",0,1),IF(L4="",1,0))</f>
        <v>0</v>
      </c>
      <c r="M2" s="51">
        <f t="shared" si="2"/>
        <v>0</v>
      </c>
      <c r="N2" s="51">
        <f t="shared" si="2"/>
        <v>0</v>
      </c>
      <c r="O2" s="51">
        <f t="shared" si="2"/>
        <v>0</v>
      </c>
      <c r="P2" s="51">
        <f t="shared" si="2"/>
        <v>0</v>
      </c>
      <c r="Q2" s="51">
        <f t="shared" si="2"/>
        <v>0</v>
      </c>
      <c r="R2" s="51">
        <f t="shared" si="2"/>
        <v>0</v>
      </c>
      <c r="S2" s="51">
        <f t="shared" si="2"/>
        <v>0</v>
      </c>
      <c r="T2" s="51">
        <f t="shared" si="2"/>
        <v>0</v>
      </c>
      <c r="U2" s="51">
        <f t="shared" si="2"/>
        <v>0</v>
      </c>
      <c r="V2" s="51"/>
      <c r="W2" s="51">
        <f t="shared" ref="W2:AF2" si="3">IF(COUNT(W8:W37)=0,IF(W4="",0,1),IF(W4="",1,0))</f>
        <v>0</v>
      </c>
      <c r="X2" s="51">
        <f t="shared" si="3"/>
        <v>0</v>
      </c>
      <c r="Y2" s="51">
        <f t="shared" si="3"/>
        <v>0</v>
      </c>
      <c r="Z2" s="51">
        <f t="shared" si="3"/>
        <v>0</v>
      </c>
      <c r="AA2" s="51">
        <f t="shared" si="3"/>
        <v>0</v>
      </c>
      <c r="AB2" s="51">
        <f t="shared" si="3"/>
        <v>0</v>
      </c>
      <c r="AC2" s="51">
        <f t="shared" si="3"/>
        <v>0</v>
      </c>
      <c r="AD2" s="51">
        <f t="shared" si="3"/>
        <v>0</v>
      </c>
      <c r="AE2" s="51">
        <f t="shared" si="3"/>
        <v>0</v>
      </c>
      <c r="AF2" s="51">
        <f t="shared" si="3"/>
        <v>0</v>
      </c>
      <c r="AG2" s="51"/>
      <c r="AH2" s="51">
        <f t="shared" ref="AH2:AL2" si="4">IF(COUNT(AH8:AH37)=0,IF(AH4="",0,1),IF(AH4="",1,0))</f>
        <v>0</v>
      </c>
      <c r="AI2" s="51">
        <f t="shared" si="4"/>
        <v>0</v>
      </c>
      <c r="AJ2" s="51">
        <f t="shared" si="4"/>
        <v>0</v>
      </c>
      <c r="AK2" s="51">
        <f t="shared" si="4"/>
        <v>0</v>
      </c>
      <c r="AL2" s="51">
        <f t="shared" si="4"/>
        <v>0</v>
      </c>
      <c r="AM2" s="51"/>
      <c r="AN2" s="51"/>
      <c r="AO2" s="51"/>
      <c r="AP2" s="51"/>
    </row>
    <row r="3" ht="15.75" customHeight="1">
      <c r="A3" s="49"/>
      <c r="B3" s="52" t="str">
        <f>General!B1</f>
        <v/>
      </c>
      <c r="E3" s="53" t="s">
        <v>28</v>
      </c>
      <c r="F3" s="55"/>
      <c r="G3" s="54"/>
      <c r="H3" s="55"/>
      <c r="I3" s="54"/>
      <c r="J3" s="55"/>
      <c r="K3" s="56"/>
      <c r="L3" s="55"/>
      <c r="M3" s="54"/>
      <c r="N3" s="55"/>
      <c r="O3" s="54"/>
      <c r="P3" s="55"/>
      <c r="Q3" s="54"/>
      <c r="R3" s="54"/>
      <c r="S3" s="55"/>
      <c r="T3" s="54"/>
      <c r="U3" s="55"/>
      <c r="V3" s="56"/>
      <c r="W3" s="55"/>
      <c r="X3" s="54"/>
      <c r="Y3" s="55"/>
      <c r="Z3" s="54"/>
      <c r="AA3" s="55"/>
      <c r="AB3" s="55"/>
      <c r="AC3" s="54"/>
      <c r="AD3" s="55"/>
      <c r="AE3" s="54"/>
      <c r="AF3" s="55"/>
      <c r="AG3" s="56"/>
      <c r="AH3" s="55"/>
      <c r="AI3" s="54"/>
      <c r="AJ3" s="55"/>
      <c r="AK3" s="54"/>
      <c r="AL3" s="55"/>
      <c r="AM3" s="58"/>
      <c r="AN3" s="56"/>
      <c r="AP3" s="59" t="s">
        <v>43</v>
      </c>
    </row>
    <row r="4" ht="89.25" customHeight="1">
      <c r="A4" s="49"/>
      <c r="B4" s="60" t="str">
        <f>General!B2</f>
        <v/>
      </c>
      <c r="E4" s="61" t="s">
        <v>30</v>
      </c>
      <c r="F4" s="62"/>
      <c r="G4" s="63"/>
      <c r="H4" s="62"/>
      <c r="I4" s="63"/>
      <c r="J4" s="62"/>
      <c r="K4" s="56" t="s">
        <v>31</v>
      </c>
      <c r="L4" s="62"/>
      <c r="M4" s="63"/>
      <c r="N4" s="62"/>
      <c r="O4" s="63"/>
      <c r="P4" s="62"/>
      <c r="Q4" s="63"/>
      <c r="R4" s="63"/>
      <c r="S4" s="62"/>
      <c r="T4" s="63"/>
      <c r="U4" s="62"/>
      <c r="V4" s="56" t="s">
        <v>32</v>
      </c>
      <c r="W4" s="62"/>
      <c r="X4" s="63"/>
      <c r="Y4" s="62"/>
      <c r="Z4" s="63"/>
      <c r="AA4" s="62"/>
      <c r="AB4" s="62"/>
      <c r="AC4" s="63"/>
      <c r="AD4" s="62"/>
      <c r="AE4" s="63"/>
      <c r="AF4" s="62"/>
      <c r="AG4" s="56" t="s">
        <v>33</v>
      </c>
      <c r="AH4" s="62"/>
      <c r="AI4" s="63"/>
      <c r="AJ4" s="62"/>
      <c r="AK4" s="63"/>
      <c r="AL4" s="62"/>
      <c r="AM4" s="56" t="s">
        <v>34</v>
      </c>
      <c r="AN4" s="65" t="s">
        <v>35</v>
      </c>
      <c r="AO4" s="66" t="s">
        <v>36</v>
      </c>
    </row>
    <row r="5" ht="1.5" customHeight="1">
      <c r="A5" s="67"/>
      <c r="B5" s="68"/>
      <c r="C5" s="69"/>
      <c r="D5" s="70"/>
      <c r="E5" s="68"/>
      <c r="F5" s="71">
        <f t="shared" ref="F5:J5" si="5">IF(COUNT(F8:F37)=0,IF(F3="",0,1),IF(F3="",1,0))</f>
        <v>0</v>
      </c>
      <c r="G5" s="72">
        <f t="shared" si="5"/>
        <v>0</v>
      </c>
      <c r="H5" s="71">
        <f t="shared" si="5"/>
        <v>0</v>
      </c>
      <c r="I5" s="72">
        <f t="shared" si="5"/>
        <v>0</v>
      </c>
      <c r="J5" s="71">
        <f t="shared" si="5"/>
        <v>0</v>
      </c>
      <c r="K5" s="73"/>
      <c r="L5" s="71">
        <f t="shared" ref="L5:U5" si="6">IF(COUNT(L8:L37)=0,IF(L3="",0,1),IF(L3="",1,0))</f>
        <v>0</v>
      </c>
      <c r="M5" s="71">
        <f t="shared" si="6"/>
        <v>0</v>
      </c>
      <c r="N5" s="71">
        <f t="shared" si="6"/>
        <v>0</v>
      </c>
      <c r="O5" s="71">
        <f t="shared" si="6"/>
        <v>0</v>
      </c>
      <c r="P5" s="74">
        <f t="shared" si="6"/>
        <v>0</v>
      </c>
      <c r="Q5" s="74">
        <f t="shared" si="6"/>
        <v>0</v>
      </c>
      <c r="R5" s="74">
        <f t="shared" si="6"/>
        <v>0</v>
      </c>
      <c r="S5" s="71">
        <f t="shared" si="6"/>
        <v>0</v>
      </c>
      <c r="T5" s="71">
        <f t="shared" si="6"/>
        <v>0</v>
      </c>
      <c r="U5" s="71">
        <f t="shared" si="6"/>
        <v>0</v>
      </c>
      <c r="V5" s="73"/>
      <c r="W5" s="71">
        <f t="shared" ref="W5:AF5" si="7">IF(COUNT(W8:W37)=0,IF(W3="",0,1),IF(W3="",1,0))</f>
        <v>0</v>
      </c>
      <c r="X5" s="71">
        <f t="shared" si="7"/>
        <v>0</v>
      </c>
      <c r="Y5" s="71">
        <f t="shared" si="7"/>
        <v>0</v>
      </c>
      <c r="Z5" s="71">
        <f t="shared" si="7"/>
        <v>0</v>
      </c>
      <c r="AA5" s="71">
        <f t="shared" si="7"/>
        <v>0</v>
      </c>
      <c r="AB5" s="71">
        <f t="shared" si="7"/>
        <v>0</v>
      </c>
      <c r="AC5" s="71">
        <f t="shared" si="7"/>
        <v>0</v>
      </c>
      <c r="AD5" s="71">
        <f t="shared" si="7"/>
        <v>0</v>
      </c>
      <c r="AE5" s="71">
        <f t="shared" si="7"/>
        <v>0</v>
      </c>
      <c r="AF5" s="71">
        <f t="shared" si="7"/>
        <v>0</v>
      </c>
      <c r="AG5" s="73"/>
      <c r="AH5" s="71">
        <f t="shared" ref="AH5:AL5" si="8">IF(COUNT(AH8:AH37)=0,IF(AH3="",0,1),IF(AH3="",1,0))</f>
        <v>0</v>
      </c>
      <c r="AI5" s="71">
        <f t="shared" si="8"/>
        <v>0</v>
      </c>
      <c r="AJ5" s="71">
        <f t="shared" si="8"/>
        <v>0</v>
      </c>
      <c r="AK5" s="71">
        <f t="shared" si="8"/>
        <v>0</v>
      </c>
      <c r="AL5" s="71">
        <f t="shared" si="8"/>
        <v>0</v>
      </c>
      <c r="AM5" s="73"/>
      <c r="AN5" s="75">
        <v>5.0</v>
      </c>
      <c r="AO5" s="76">
        <v>5.0</v>
      </c>
    </row>
    <row r="6" ht="18.0" hidden="1" customHeight="1">
      <c r="A6" s="77"/>
      <c r="B6" s="77"/>
      <c r="C6" s="78"/>
      <c r="D6" s="79" t="s">
        <v>37</v>
      </c>
      <c r="E6" s="80">
        <f>if(sumifs(F5:AG5,F7:AG7,"&gt;=0")=0,1,sumifs(F5:AG5,F7:AG7,"&gt;=0"))</f>
        <v>1</v>
      </c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  <c r="AC6" s="81"/>
      <c r="AD6" s="81"/>
      <c r="AE6" s="81"/>
      <c r="AF6" s="81"/>
      <c r="AG6" s="81"/>
      <c r="AH6" s="81"/>
      <c r="AI6" s="81"/>
      <c r="AJ6" s="81"/>
      <c r="AK6" s="81"/>
      <c r="AL6" s="81"/>
      <c r="AM6" s="81"/>
      <c r="AN6" s="81"/>
      <c r="AO6" s="81"/>
      <c r="AP6" s="81"/>
    </row>
    <row r="7" ht="22.5" customHeight="1">
      <c r="A7" s="82"/>
      <c r="B7" s="82"/>
      <c r="C7" s="83" t="s">
        <v>38</v>
      </c>
      <c r="D7" s="84" t="str">
        <f t="array" ref="D7">iferror(index(Grades, match($E7*100,GradeRange,-1), 1),0)</f>
        <v/>
      </c>
      <c r="E7" s="85">
        <f>IFERROR(AP7/100,0)</f>
        <v>0</v>
      </c>
      <c r="F7" s="88" t="str">
        <f t="shared" ref="F7:AP7" si="9">iferror(average(F8:F37))</f>
        <v/>
      </c>
      <c r="G7" s="88" t="str">
        <f t="shared" si="9"/>
        <v/>
      </c>
      <c r="H7" s="88" t="str">
        <f t="shared" si="9"/>
        <v/>
      </c>
      <c r="I7" s="88" t="str">
        <f t="shared" si="9"/>
        <v/>
      </c>
      <c r="J7" s="88" t="str">
        <f t="shared" si="9"/>
        <v/>
      </c>
      <c r="K7" s="88" t="str">
        <f t="shared" si="9"/>
        <v/>
      </c>
      <c r="L7" s="88" t="str">
        <f t="shared" si="9"/>
        <v/>
      </c>
      <c r="M7" s="88" t="str">
        <f t="shared" si="9"/>
        <v/>
      </c>
      <c r="N7" s="88" t="str">
        <f t="shared" si="9"/>
        <v/>
      </c>
      <c r="O7" s="88" t="str">
        <f t="shared" si="9"/>
        <v/>
      </c>
      <c r="P7" s="88" t="str">
        <f t="shared" si="9"/>
        <v/>
      </c>
      <c r="Q7" s="88" t="str">
        <f t="shared" si="9"/>
        <v/>
      </c>
      <c r="R7" s="88" t="str">
        <f t="shared" si="9"/>
        <v/>
      </c>
      <c r="S7" s="88" t="str">
        <f t="shared" si="9"/>
        <v/>
      </c>
      <c r="T7" s="88" t="str">
        <f t="shared" si="9"/>
        <v/>
      </c>
      <c r="U7" s="126" t="str">
        <f t="shared" si="9"/>
        <v/>
      </c>
      <c r="V7" s="88" t="str">
        <f t="shared" si="9"/>
        <v/>
      </c>
      <c r="W7" s="88" t="str">
        <f t="shared" si="9"/>
        <v/>
      </c>
      <c r="X7" s="88" t="str">
        <f t="shared" si="9"/>
        <v/>
      </c>
      <c r="Y7" s="88" t="str">
        <f t="shared" si="9"/>
        <v/>
      </c>
      <c r="Z7" s="88" t="str">
        <f t="shared" si="9"/>
        <v/>
      </c>
      <c r="AA7" s="88" t="str">
        <f t="shared" si="9"/>
        <v/>
      </c>
      <c r="AB7" s="88" t="str">
        <f t="shared" si="9"/>
        <v/>
      </c>
      <c r="AC7" s="88" t="str">
        <f t="shared" si="9"/>
        <v/>
      </c>
      <c r="AD7" s="88" t="str">
        <f t="shared" si="9"/>
        <v/>
      </c>
      <c r="AE7" s="88" t="str">
        <f t="shared" si="9"/>
        <v/>
      </c>
      <c r="AF7" s="88" t="str">
        <f t="shared" si="9"/>
        <v/>
      </c>
      <c r="AG7" s="88" t="str">
        <f t="shared" si="9"/>
        <v/>
      </c>
      <c r="AH7" s="88" t="str">
        <f t="shared" si="9"/>
        <v/>
      </c>
      <c r="AI7" s="88" t="str">
        <f t="shared" si="9"/>
        <v/>
      </c>
      <c r="AJ7" s="88" t="str">
        <f t="shared" si="9"/>
        <v/>
      </c>
      <c r="AK7" s="88" t="str">
        <f t="shared" si="9"/>
        <v/>
      </c>
      <c r="AL7" s="88" t="str">
        <f t="shared" si="9"/>
        <v/>
      </c>
      <c r="AM7" s="88" t="str">
        <f t="shared" si="9"/>
        <v/>
      </c>
      <c r="AN7" s="88" t="str">
        <f t="shared" si="9"/>
        <v/>
      </c>
      <c r="AO7" s="88" t="str">
        <f t="shared" si="9"/>
        <v/>
      </c>
      <c r="AP7" s="88" t="str">
        <f t="shared" si="9"/>
        <v/>
      </c>
    </row>
    <row r="8" ht="19.5" customHeight="1">
      <c r="A8" s="89" t="str">
        <f>'1erTRIM'!A8</f>
        <v/>
      </c>
      <c r="B8" s="90" t="str">
        <f>'1erTRIM'!B8</f>
        <v/>
      </c>
      <c r="C8" s="110" t="str">
        <f>'1erTRIM'!C8</f>
        <v/>
      </c>
      <c r="D8" s="92" t="str">
        <f t="array" ref="D8">IFERROR(index(Grades, match($E8*100,GradeRange,-1), 1))</f>
        <v/>
      </c>
      <c r="E8" s="93">
        <f t="shared" ref="E8:E37" si="10">IFERROR((SUM(K8,V8,AG8,AM8,AN8,AO8))/100)</f>
        <v>0</v>
      </c>
      <c r="F8" s="94"/>
      <c r="G8" s="95"/>
      <c r="H8" s="94"/>
      <c r="I8" s="95"/>
      <c r="J8" s="94"/>
      <c r="K8" s="96" t="str">
        <f t="shared" ref="K8:K37" si="11">IFERROR(ROUND(ROUND(AVERAGE(F8:J8),0)*0.1,0),"")</f>
        <v/>
      </c>
      <c r="L8" s="94"/>
      <c r="M8" s="95"/>
      <c r="N8" s="94"/>
      <c r="O8" s="95"/>
      <c r="P8" s="94"/>
      <c r="Q8" s="95"/>
      <c r="R8" s="95"/>
      <c r="S8" s="94"/>
      <c r="T8" s="95"/>
      <c r="U8" s="95"/>
      <c r="V8" s="97" t="str">
        <f t="shared" ref="V8:V37" si="12">IFERROR(ROUND(ROUND(AVERAGE(L8:U8),0)*0.35,0),"")</f>
        <v/>
      </c>
      <c r="W8" s="94"/>
      <c r="X8" s="95"/>
      <c r="Y8" s="94"/>
      <c r="Z8" s="95"/>
      <c r="AA8" s="94"/>
      <c r="AB8" s="95"/>
      <c r="AC8" s="95"/>
      <c r="AD8" s="94"/>
      <c r="AE8" s="95"/>
      <c r="AF8" s="95"/>
      <c r="AG8" s="97" t="str">
        <f t="shared" ref="AG8:AG37" si="13">IFERROR(ROUND(ROUND(AVERAGE(W8:AF8),0)*0.35,0),"")</f>
        <v/>
      </c>
      <c r="AH8" s="94"/>
      <c r="AI8" s="95"/>
      <c r="AJ8" s="94"/>
      <c r="AK8" s="95"/>
      <c r="AL8" s="94"/>
      <c r="AM8" s="97" t="str">
        <f t="shared" ref="AM8:AM37" si="14">IFERROR(ROUND(ROUND(AVERAGE(AH8:AL8),0)*0.1,0),"")</f>
        <v/>
      </c>
      <c r="AN8" s="98"/>
      <c r="AO8" s="99"/>
      <c r="AP8" s="97" t="str">
        <f t="shared" ref="AP8:AP37" si="15">IF(SUM(K8,V8,AG8,AM8,AN8,AO8)=0,"",SUM(K8,V8,AG8,AM8,AN8,AO8))</f>
        <v/>
      </c>
    </row>
    <row r="9" ht="19.5" customHeight="1">
      <c r="A9" s="89" t="str">
        <f>'1erTRIM'!A9</f>
        <v/>
      </c>
      <c r="B9" s="90" t="str">
        <f>'1erTRIM'!B9</f>
        <v/>
      </c>
      <c r="C9" s="110" t="str">
        <f>'1erTRIM'!C9</f>
        <v/>
      </c>
      <c r="D9" s="92" t="str">
        <f t="array" ref="D9">IFERROR(index(Grades, match($E9*100,GradeRange,-1), 1))</f>
        <v/>
      </c>
      <c r="E9" s="93">
        <f t="shared" si="10"/>
        <v>0</v>
      </c>
      <c r="F9" s="94"/>
      <c r="G9" s="101"/>
      <c r="H9" s="94"/>
      <c r="I9" s="101"/>
      <c r="J9" s="94"/>
      <c r="K9" s="102" t="str">
        <f t="shared" si="11"/>
        <v/>
      </c>
      <c r="L9" s="94"/>
      <c r="M9" s="101"/>
      <c r="N9" s="94"/>
      <c r="O9" s="101"/>
      <c r="P9" s="94"/>
      <c r="Q9" s="101"/>
      <c r="R9" s="101"/>
      <c r="S9" s="94"/>
      <c r="T9" s="101"/>
      <c r="U9" s="101"/>
      <c r="V9" s="103" t="str">
        <f t="shared" si="12"/>
        <v/>
      </c>
      <c r="W9" s="94"/>
      <c r="X9" s="101"/>
      <c r="Y9" s="94"/>
      <c r="Z9" s="101"/>
      <c r="AA9" s="94"/>
      <c r="AB9" s="101"/>
      <c r="AC9" s="101"/>
      <c r="AD9" s="94"/>
      <c r="AE9" s="101"/>
      <c r="AF9" s="101"/>
      <c r="AG9" s="103" t="str">
        <f t="shared" si="13"/>
        <v/>
      </c>
      <c r="AH9" s="94"/>
      <c r="AI9" s="101"/>
      <c r="AJ9" s="94"/>
      <c r="AK9" s="101"/>
      <c r="AL9" s="94"/>
      <c r="AM9" s="103" t="str">
        <f t="shared" si="14"/>
        <v/>
      </c>
      <c r="AN9" s="104"/>
      <c r="AO9" s="105"/>
      <c r="AP9" s="103" t="str">
        <f t="shared" si="15"/>
        <v/>
      </c>
    </row>
    <row r="10" ht="19.5" customHeight="1">
      <c r="A10" s="89" t="str">
        <f>'1erTRIM'!A10</f>
        <v/>
      </c>
      <c r="B10" s="90" t="str">
        <f>'1erTRIM'!B10</f>
        <v/>
      </c>
      <c r="C10" s="110" t="str">
        <f>'1erTRIM'!C10</f>
        <v/>
      </c>
      <c r="D10" s="92" t="str">
        <f t="array" ref="D10">IFERROR(index(Grades, match($E10*100,GradeRange,-1), 1))</f>
        <v/>
      </c>
      <c r="E10" s="93">
        <f t="shared" si="10"/>
        <v>0</v>
      </c>
      <c r="F10" s="94"/>
      <c r="G10" s="101"/>
      <c r="H10" s="94"/>
      <c r="I10" s="101"/>
      <c r="J10" s="94"/>
      <c r="K10" s="102" t="str">
        <f t="shared" si="11"/>
        <v/>
      </c>
      <c r="L10" s="94"/>
      <c r="M10" s="101"/>
      <c r="N10" s="94"/>
      <c r="O10" s="101"/>
      <c r="P10" s="94"/>
      <c r="Q10" s="101"/>
      <c r="R10" s="101"/>
      <c r="S10" s="94"/>
      <c r="T10" s="101"/>
      <c r="U10" s="101"/>
      <c r="V10" s="103" t="str">
        <f t="shared" si="12"/>
        <v/>
      </c>
      <c r="W10" s="94"/>
      <c r="X10" s="101"/>
      <c r="Y10" s="94"/>
      <c r="Z10" s="101"/>
      <c r="AA10" s="94"/>
      <c r="AB10" s="101"/>
      <c r="AC10" s="101"/>
      <c r="AD10" s="94"/>
      <c r="AE10" s="101"/>
      <c r="AF10" s="101"/>
      <c r="AG10" s="103" t="str">
        <f t="shared" si="13"/>
        <v/>
      </c>
      <c r="AH10" s="94"/>
      <c r="AI10" s="101"/>
      <c r="AJ10" s="94"/>
      <c r="AK10" s="101"/>
      <c r="AL10" s="94"/>
      <c r="AM10" s="103" t="str">
        <f t="shared" si="14"/>
        <v/>
      </c>
      <c r="AN10" s="104"/>
      <c r="AO10" s="105"/>
      <c r="AP10" s="103" t="str">
        <f t="shared" si="15"/>
        <v/>
      </c>
    </row>
    <row r="11" ht="19.5" customHeight="1">
      <c r="A11" s="89" t="str">
        <f>'1erTRIM'!A11</f>
        <v/>
      </c>
      <c r="B11" s="90" t="str">
        <f>'1erTRIM'!B11</f>
        <v/>
      </c>
      <c r="C11" s="110" t="str">
        <f>'1erTRIM'!C11</f>
        <v/>
      </c>
      <c r="D11" s="92" t="str">
        <f t="array" ref="D11">IFERROR(index(Grades, match($E11*100,GradeRange,-1), 1))</f>
        <v/>
      </c>
      <c r="E11" s="93">
        <f t="shared" si="10"/>
        <v>0</v>
      </c>
      <c r="F11" s="94"/>
      <c r="G11" s="101"/>
      <c r="H11" s="94"/>
      <c r="I11" s="101"/>
      <c r="J11" s="94"/>
      <c r="K11" s="102" t="str">
        <f t="shared" si="11"/>
        <v/>
      </c>
      <c r="L11" s="94"/>
      <c r="M11" s="101"/>
      <c r="N11" s="94"/>
      <c r="O11" s="101"/>
      <c r="P11" s="94"/>
      <c r="Q11" s="101"/>
      <c r="R11" s="101"/>
      <c r="S11" s="94"/>
      <c r="T11" s="101"/>
      <c r="U11" s="101"/>
      <c r="V11" s="103" t="str">
        <f t="shared" si="12"/>
        <v/>
      </c>
      <c r="W11" s="94"/>
      <c r="X11" s="101"/>
      <c r="Y11" s="94"/>
      <c r="Z11" s="101"/>
      <c r="AA11" s="94"/>
      <c r="AB11" s="101"/>
      <c r="AC11" s="101"/>
      <c r="AD11" s="94"/>
      <c r="AE11" s="101"/>
      <c r="AF11" s="101"/>
      <c r="AG11" s="103" t="str">
        <f t="shared" si="13"/>
        <v/>
      </c>
      <c r="AH11" s="94"/>
      <c r="AI11" s="101"/>
      <c r="AJ11" s="94"/>
      <c r="AK11" s="101"/>
      <c r="AL11" s="94"/>
      <c r="AM11" s="103" t="str">
        <f t="shared" si="14"/>
        <v/>
      </c>
      <c r="AN11" s="104"/>
      <c r="AO11" s="105"/>
      <c r="AP11" s="103" t="str">
        <f t="shared" si="15"/>
        <v/>
      </c>
    </row>
    <row r="12" ht="19.5" customHeight="1">
      <c r="A12" s="89" t="str">
        <f>'1erTRIM'!A12</f>
        <v/>
      </c>
      <c r="B12" s="90" t="str">
        <f>'1erTRIM'!B12</f>
        <v/>
      </c>
      <c r="C12" s="110" t="str">
        <f>'1erTRIM'!C12</f>
        <v/>
      </c>
      <c r="D12" s="92" t="str">
        <f t="array" ref="D12">IFERROR(index(Grades, match($E12*100,GradeRange,-1), 1))</f>
        <v/>
      </c>
      <c r="E12" s="93">
        <f t="shared" si="10"/>
        <v>0</v>
      </c>
      <c r="F12" s="94"/>
      <c r="G12" s="101"/>
      <c r="H12" s="94"/>
      <c r="I12" s="101"/>
      <c r="J12" s="94"/>
      <c r="K12" s="102" t="str">
        <f t="shared" si="11"/>
        <v/>
      </c>
      <c r="L12" s="94"/>
      <c r="M12" s="101"/>
      <c r="N12" s="94"/>
      <c r="O12" s="101"/>
      <c r="P12" s="94"/>
      <c r="Q12" s="101"/>
      <c r="R12" s="101"/>
      <c r="S12" s="94"/>
      <c r="T12" s="101"/>
      <c r="U12" s="101"/>
      <c r="V12" s="103" t="str">
        <f t="shared" si="12"/>
        <v/>
      </c>
      <c r="W12" s="94"/>
      <c r="X12" s="101"/>
      <c r="Y12" s="94"/>
      <c r="Z12" s="101"/>
      <c r="AA12" s="94"/>
      <c r="AB12" s="101"/>
      <c r="AC12" s="101"/>
      <c r="AD12" s="94"/>
      <c r="AE12" s="101"/>
      <c r="AF12" s="101"/>
      <c r="AG12" s="103" t="str">
        <f t="shared" si="13"/>
        <v/>
      </c>
      <c r="AH12" s="94"/>
      <c r="AI12" s="101"/>
      <c r="AJ12" s="94"/>
      <c r="AK12" s="101"/>
      <c r="AL12" s="94"/>
      <c r="AM12" s="103" t="str">
        <f t="shared" si="14"/>
        <v/>
      </c>
      <c r="AN12" s="104"/>
      <c r="AO12" s="105"/>
      <c r="AP12" s="103" t="str">
        <f t="shared" si="15"/>
        <v/>
      </c>
    </row>
    <row r="13" ht="19.5" customHeight="1">
      <c r="A13" s="89" t="str">
        <f>'1erTRIM'!A13</f>
        <v/>
      </c>
      <c r="B13" s="90" t="str">
        <f>'1erTRIM'!B13</f>
        <v/>
      </c>
      <c r="C13" s="110" t="str">
        <f>'1erTRIM'!C13</f>
        <v/>
      </c>
      <c r="D13" s="92" t="str">
        <f t="array" ref="D13">IFERROR(index(Grades, match($E13*100,GradeRange,-1), 1))</f>
        <v/>
      </c>
      <c r="E13" s="93">
        <f t="shared" si="10"/>
        <v>0</v>
      </c>
      <c r="F13" s="94"/>
      <c r="G13" s="101"/>
      <c r="H13" s="94"/>
      <c r="I13" s="101"/>
      <c r="J13" s="94"/>
      <c r="K13" s="102" t="str">
        <f t="shared" si="11"/>
        <v/>
      </c>
      <c r="L13" s="94"/>
      <c r="M13" s="101"/>
      <c r="N13" s="94"/>
      <c r="O13" s="101"/>
      <c r="P13" s="94"/>
      <c r="Q13" s="101"/>
      <c r="R13" s="101"/>
      <c r="S13" s="94"/>
      <c r="T13" s="101"/>
      <c r="U13" s="101"/>
      <c r="V13" s="103" t="str">
        <f t="shared" si="12"/>
        <v/>
      </c>
      <c r="W13" s="94"/>
      <c r="X13" s="101"/>
      <c r="Y13" s="94"/>
      <c r="Z13" s="101"/>
      <c r="AA13" s="94"/>
      <c r="AB13" s="101"/>
      <c r="AC13" s="101"/>
      <c r="AD13" s="94"/>
      <c r="AE13" s="101"/>
      <c r="AF13" s="101"/>
      <c r="AG13" s="103" t="str">
        <f t="shared" si="13"/>
        <v/>
      </c>
      <c r="AH13" s="94"/>
      <c r="AI13" s="101"/>
      <c r="AJ13" s="94"/>
      <c r="AK13" s="101"/>
      <c r="AL13" s="94"/>
      <c r="AM13" s="103" t="str">
        <f t="shared" si="14"/>
        <v/>
      </c>
      <c r="AN13" s="104"/>
      <c r="AO13" s="105"/>
      <c r="AP13" s="103" t="str">
        <f t="shared" si="15"/>
        <v/>
      </c>
    </row>
    <row r="14" ht="19.5" customHeight="1">
      <c r="A14" s="89" t="str">
        <f>'1erTRIM'!A14</f>
        <v/>
      </c>
      <c r="B14" s="90" t="str">
        <f>'1erTRIM'!B14</f>
        <v/>
      </c>
      <c r="C14" s="110" t="str">
        <f>'1erTRIM'!C14</f>
        <v/>
      </c>
      <c r="D14" s="92" t="str">
        <f t="array" ref="D14">IFERROR(index(Grades, match($E14*100,GradeRange,-1), 1))</f>
        <v/>
      </c>
      <c r="E14" s="93">
        <f t="shared" si="10"/>
        <v>0</v>
      </c>
      <c r="F14" s="94"/>
      <c r="G14" s="101"/>
      <c r="H14" s="94"/>
      <c r="I14" s="101"/>
      <c r="J14" s="94"/>
      <c r="K14" s="102" t="str">
        <f t="shared" si="11"/>
        <v/>
      </c>
      <c r="L14" s="94"/>
      <c r="M14" s="101"/>
      <c r="N14" s="94"/>
      <c r="O14" s="101"/>
      <c r="P14" s="94"/>
      <c r="Q14" s="101"/>
      <c r="R14" s="101"/>
      <c r="S14" s="94"/>
      <c r="T14" s="101"/>
      <c r="U14" s="101"/>
      <c r="V14" s="103" t="str">
        <f t="shared" si="12"/>
        <v/>
      </c>
      <c r="W14" s="94"/>
      <c r="X14" s="101"/>
      <c r="Y14" s="94"/>
      <c r="Z14" s="101"/>
      <c r="AA14" s="94"/>
      <c r="AB14" s="101"/>
      <c r="AC14" s="101"/>
      <c r="AD14" s="94"/>
      <c r="AE14" s="101"/>
      <c r="AF14" s="101"/>
      <c r="AG14" s="103" t="str">
        <f t="shared" si="13"/>
        <v/>
      </c>
      <c r="AH14" s="94"/>
      <c r="AI14" s="101"/>
      <c r="AJ14" s="94"/>
      <c r="AK14" s="101"/>
      <c r="AL14" s="94"/>
      <c r="AM14" s="103" t="str">
        <f t="shared" si="14"/>
        <v/>
      </c>
      <c r="AN14" s="104"/>
      <c r="AO14" s="105"/>
      <c r="AP14" s="103" t="str">
        <f t="shared" si="15"/>
        <v/>
      </c>
    </row>
    <row r="15" ht="19.5" customHeight="1">
      <c r="A15" s="89" t="str">
        <f>'1erTRIM'!A15</f>
        <v/>
      </c>
      <c r="B15" s="90" t="str">
        <f>'1erTRIM'!B15</f>
        <v/>
      </c>
      <c r="C15" s="110" t="str">
        <f>'1erTRIM'!C15</f>
        <v/>
      </c>
      <c r="D15" s="92" t="str">
        <f t="array" ref="D15">IFERROR(index(Grades, match($E15*100,GradeRange,-1), 1))</f>
        <v/>
      </c>
      <c r="E15" s="93">
        <f t="shared" si="10"/>
        <v>0</v>
      </c>
      <c r="F15" s="94"/>
      <c r="G15" s="101"/>
      <c r="H15" s="94"/>
      <c r="I15" s="101"/>
      <c r="J15" s="94"/>
      <c r="K15" s="102" t="str">
        <f t="shared" si="11"/>
        <v/>
      </c>
      <c r="L15" s="94"/>
      <c r="M15" s="101"/>
      <c r="N15" s="94"/>
      <c r="O15" s="101"/>
      <c r="P15" s="94"/>
      <c r="Q15" s="101"/>
      <c r="R15" s="101"/>
      <c r="S15" s="94"/>
      <c r="T15" s="101"/>
      <c r="U15" s="101"/>
      <c r="V15" s="103" t="str">
        <f t="shared" si="12"/>
        <v/>
      </c>
      <c r="W15" s="94"/>
      <c r="X15" s="101"/>
      <c r="Y15" s="94"/>
      <c r="Z15" s="101"/>
      <c r="AA15" s="94"/>
      <c r="AB15" s="101"/>
      <c r="AC15" s="101"/>
      <c r="AD15" s="94"/>
      <c r="AE15" s="101"/>
      <c r="AF15" s="101"/>
      <c r="AG15" s="103" t="str">
        <f t="shared" si="13"/>
        <v/>
      </c>
      <c r="AH15" s="94"/>
      <c r="AI15" s="101"/>
      <c r="AJ15" s="94"/>
      <c r="AK15" s="101"/>
      <c r="AL15" s="94"/>
      <c r="AM15" s="103" t="str">
        <f t="shared" si="14"/>
        <v/>
      </c>
      <c r="AN15" s="104"/>
      <c r="AO15" s="105"/>
      <c r="AP15" s="103" t="str">
        <f t="shared" si="15"/>
        <v/>
      </c>
    </row>
    <row r="16" ht="19.5" customHeight="1">
      <c r="A16" s="89" t="str">
        <f>'1erTRIM'!A16</f>
        <v/>
      </c>
      <c r="B16" s="90" t="str">
        <f>'1erTRIM'!B16</f>
        <v/>
      </c>
      <c r="C16" s="110" t="str">
        <f>'1erTRIM'!C16</f>
        <v/>
      </c>
      <c r="D16" s="92" t="str">
        <f t="array" ref="D16">IFERROR(index(Grades, match($E16*100,GradeRange,-1), 1))</f>
        <v/>
      </c>
      <c r="E16" s="93">
        <f t="shared" si="10"/>
        <v>0</v>
      </c>
      <c r="F16" s="94"/>
      <c r="G16" s="101"/>
      <c r="H16" s="94"/>
      <c r="I16" s="101"/>
      <c r="J16" s="94"/>
      <c r="K16" s="102" t="str">
        <f t="shared" si="11"/>
        <v/>
      </c>
      <c r="L16" s="94"/>
      <c r="M16" s="101"/>
      <c r="N16" s="94"/>
      <c r="O16" s="101"/>
      <c r="P16" s="94"/>
      <c r="Q16" s="101"/>
      <c r="R16" s="101"/>
      <c r="S16" s="94"/>
      <c r="T16" s="101"/>
      <c r="U16" s="101"/>
      <c r="V16" s="103" t="str">
        <f t="shared" si="12"/>
        <v/>
      </c>
      <c r="W16" s="94"/>
      <c r="X16" s="101"/>
      <c r="Y16" s="94"/>
      <c r="Z16" s="101"/>
      <c r="AA16" s="94"/>
      <c r="AB16" s="101"/>
      <c r="AC16" s="101"/>
      <c r="AD16" s="94"/>
      <c r="AE16" s="101"/>
      <c r="AF16" s="101"/>
      <c r="AG16" s="103" t="str">
        <f t="shared" si="13"/>
        <v/>
      </c>
      <c r="AH16" s="94"/>
      <c r="AI16" s="101"/>
      <c r="AJ16" s="94"/>
      <c r="AK16" s="101"/>
      <c r="AL16" s="94"/>
      <c r="AM16" s="103" t="str">
        <f t="shared" si="14"/>
        <v/>
      </c>
      <c r="AN16" s="104"/>
      <c r="AO16" s="105"/>
      <c r="AP16" s="103" t="str">
        <f t="shared" si="15"/>
        <v/>
      </c>
    </row>
    <row r="17" ht="19.5" customHeight="1">
      <c r="A17" s="89" t="str">
        <f>'1erTRIM'!A17</f>
        <v/>
      </c>
      <c r="B17" s="90" t="str">
        <f>'1erTRIM'!B17</f>
        <v/>
      </c>
      <c r="C17" s="110" t="str">
        <f>'1erTRIM'!C17</f>
        <v/>
      </c>
      <c r="D17" s="92" t="str">
        <f t="array" ref="D17">IFERROR(index(Grades, match($E17*100,GradeRange,-1), 1))</f>
        <v/>
      </c>
      <c r="E17" s="93">
        <f t="shared" si="10"/>
        <v>0</v>
      </c>
      <c r="F17" s="94"/>
      <c r="G17" s="101"/>
      <c r="H17" s="94"/>
      <c r="I17" s="101"/>
      <c r="J17" s="94"/>
      <c r="K17" s="102" t="str">
        <f t="shared" si="11"/>
        <v/>
      </c>
      <c r="L17" s="94"/>
      <c r="M17" s="101"/>
      <c r="N17" s="94"/>
      <c r="O17" s="101"/>
      <c r="P17" s="94"/>
      <c r="Q17" s="101"/>
      <c r="R17" s="101"/>
      <c r="S17" s="94"/>
      <c r="T17" s="101"/>
      <c r="U17" s="101"/>
      <c r="V17" s="103" t="str">
        <f t="shared" si="12"/>
        <v/>
      </c>
      <c r="W17" s="94"/>
      <c r="X17" s="101"/>
      <c r="Y17" s="94"/>
      <c r="Z17" s="101"/>
      <c r="AA17" s="94"/>
      <c r="AB17" s="101"/>
      <c r="AC17" s="101"/>
      <c r="AD17" s="94"/>
      <c r="AE17" s="101"/>
      <c r="AF17" s="101"/>
      <c r="AG17" s="103" t="str">
        <f t="shared" si="13"/>
        <v/>
      </c>
      <c r="AH17" s="94"/>
      <c r="AI17" s="101"/>
      <c r="AJ17" s="94"/>
      <c r="AK17" s="101"/>
      <c r="AL17" s="94"/>
      <c r="AM17" s="103" t="str">
        <f t="shared" si="14"/>
        <v/>
      </c>
      <c r="AN17" s="104"/>
      <c r="AO17" s="105"/>
      <c r="AP17" s="103" t="str">
        <f t="shared" si="15"/>
        <v/>
      </c>
    </row>
    <row r="18" ht="19.5" customHeight="1">
      <c r="A18" s="89" t="str">
        <f>'1erTRIM'!A18</f>
        <v/>
      </c>
      <c r="B18" s="90" t="str">
        <f>'1erTRIM'!B18</f>
        <v/>
      </c>
      <c r="C18" s="110" t="str">
        <f>'1erTRIM'!C18</f>
        <v/>
      </c>
      <c r="D18" s="92" t="str">
        <f t="array" ref="D18">IFERROR(index(Grades, match($E18*100,GradeRange,-1), 1))</f>
        <v/>
      </c>
      <c r="E18" s="93">
        <f t="shared" si="10"/>
        <v>0</v>
      </c>
      <c r="F18" s="94"/>
      <c r="G18" s="101"/>
      <c r="H18" s="94"/>
      <c r="I18" s="101"/>
      <c r="J18" s="94"/>
      <c r="K18" s="102" t="str">
        <f t="shared" si="11"/>
        <v/>
      </c>
      <c r="L18" s="94"/>
      <c r="M18" s="101"/>
      <c r="N18" s="94"/>
      <c r="O18" s="101"/>
      <c r="P18" s="94"/>
      <c r="Q18" s="101"/>
      <c r="R18" s="101"/>
      <c r="S18" s="94"/>
      <c r="T18" s="101"/>
      <c r="U18" s="101"/>
      <c r="V18" s="103" t="str">
        <f t="shared" si="12"/>
        <v/>
      </c>
      <c r="W18" s="94"/>
      <c r="X18" s="101"/>
      <c r="Y18" s="94"/>
      <c r="Z18" s="101"/>
      <c r="AA18" s="94"/>
      <c r="AB18" s="101"/>
      <c r="AC18" s="101"/>
      <c r="AD18" s="94"/>
      <c r="AE18" s="101"/>
      <c r="AF18" s="101"/>
      <c r="AG18" s="103" t="str">
        <f t="shared" si="13"/>
        <v/>
      </c>
      <c r="AH18" s="94"/>
      <c r="AI18" s="101"/>
      <c r="AJ18" s="94"/>
      <c r="AK18" s="101"/>
      <c r="AL18" s="94"/>
      <c r="AM18" s="103" t="str">
        <f t="shared" si="14"/>
        <v/>
      </c>
      <c r="AN18" s="104"/>
      <c r="AO18" s="105"/>
      <c r="AP18" s="103" t="str">
        <f t="shared" si="15"/>
        <v/>
      </c>
    </row>
    <row r="19" ht="19.5" customHeight="1">
      <c r="A19" s="89" t="str">
        <f>'1erTRIM'!A19</f>
        <v/>
      </c>
      <c r="B19" s="90" t="str">
        <f>'1erTRIM'!B19</f>
        <v/>
      </c>
      <c r="C19" s="110" t="str">
        <f>'1erTRIM'!C19</f>
        <v/>
      </c>
      <c r="D19" s="92" t="str">
        <f t="array" ref="D19">IFERROR(index(Grades, match($E19*100,GradeRange,-1), 1))</f>
        <v/>
      </c>
      <c r="E19" s="93">
        <f t="shared" si="10"/>
        <v>0</v>
      </c>
      <c r="F19" s="94"/>
      <c r="G19" s="101"/>
      <c r="H19" s="94"/>
      <c r="I19" s="101"/>
      <c r="J19" s="94"/>
      <c r="K19" s="102" t="str">
        <f t="shared" si="11"/>
        <v/>
      </c>
      <c r="L19" s="94"/>
      <c r="M19" s="101"/>
      <c r="N19" s="94"/>
      <c r="O19" s="101"/>
      <c r="P19" s="94"/>
      <c r="Q19" s="101"/>
      <c r="R19" s="101"/>
      <c r="S19" s="94"/>
      <c r="T19" s="101"/>
      <c r="U19" s="101"/>
      <c r="V19" s="103" t="str">
        <f t="shared" si="12"/>
        <v/>
      </c>
      <c r="W19" s="94"/>
      <c r="X19" s="101"/>
      <c r="Y19" s="94"/>
      <c r="Z19" s="101"/>
      <c r="AA19" s="94"/>
      <c r="AB19" s="101"/>
      <c r="AC19" s="101"/>
      <c r="AD19" s="94"/>
      <c r="AE19" s="101"/>
      <c r="AF19" s="101"/>
      <c r="AG19" s="103" t="str">
        <f t="shared" si="13"/>
        <v/>
      </c>
      <c r="AH19" s="94"/>
      <c r="AI19" s="101"/>
      <c r="AJ19" s="94"/>
      <c r="AK19" s="101"/>
      <c r="AL19" s="94"/>
      <c r="AM19" s="103" t="str">
        <f t="shared" si="14"/>
        <v/>
      </c>
      <c r="AN19" s="104"/>
      <c r="AO19" s="105"/>
      <c r="AP19" s="103" t="str">
        <f t="shared" si="15"/>
        <v/>
      </c>
    </row>
    <row r="20" ht="19.5" customHeight="1">
      <c r="A20" s="89" t="str">
        <f>'1erTRIM'!A20</f>
        <v/>
      </c>
      <c r="B20" s="90" t="str">
        <f>'1erTRIM'!B20</f>
        <v/>
      </c>
      <c r="C20" s="110" t="str">
        <f>'1erTRIM'!C20</f>
        <v/>
      </c>
      <c r="D20" s="92" t="str">
        <f t="array" ref="D20">IFERROR(index(Grades, match($E20*100,GradeRange,-1), 1))</f>
        <v/>
      </c>
      <c r="E20" s="93">
        <f t="shared" si="10"/>
        <v>0</v>
      </c>
      <c r="F20" s="94"/>
      <c r="G20" s="101"/>
      <c r="H20" s="94"/>
      <c r="I20" s="101"/>
      <c r="J20" s="94"/>
      <c r="K20" s="102" t="str">
        <f t="shared" si="11"/>
        <v/>
      </c>
      <c r="L20" s="94"/>
      <c r="M20" s="101"/>
      <c r="N20" s="94"/>
      <c r="O20" s="101"/>
      <c r="P20" s="94"/>
      <c r="Q20" s="101"/>
      <c r="R20" s="101"/>
      <c r="S20" s="94"/>
      <c r="T20" s="101"/>
      <c r="U20" s="101"/>
      <c r="V20" s="103" t="str">
        <f t="shared" si="12"/>
        <v/>
      </c>
      <c r="W20" s="94"/>
      <c r="X20" s="101"/>
      <c r="Y20" s="94"/>
      <c r="Z20" s="101"/>
      <c r="AA20" s="94"/>
      <c r="AB20" s="101"/>
      <c r="AC20" s="101"/>
      <c r="AD20" s="94"/>
      <c r="AE20" s="101"/>
      <c r="AF20" s="101"/>
      <c r="AG20" s="103" t="str">
        <f t="shared" si="13"/>
        <v/>
      </c>
      <c r="AH20" s="94"/>
      <c r="AI20" s="101"/>
      <c r="AJ20" s="94"/>
      <c r="AK20" s="101"/>
      <c r="AL20" s="94"/>
      <c r="AM20" s="103" t="str">
        <f t="shared" si="14"/>
        <v/>
      </c>
      <c r="AN20" s="104"/>
      <c r="AO20" s="105"/>
      <c r="AP20" s="103" t="str">
        <f t="shared" si="15"/>
        <v/>
      </c>
    </row>
    <row r="21" ht="19.5" customHeight="1">
      <c r="A21" s="89" t="str">
        <f>'1erTRIM'!A21</f>
        <v/>
      </c>
      <c r="B21" s="90" t="str">
        <f>'1erTRIM'!B21</f>
        <v/>
      </c>
      <c r="C21" s="110" t="str">
        <f>'1erTRIM'!C21</f>
        <v/>
      </c>
      <c r="D21" s="92" t="str">
        <f t="array" ref="D21">IFERROR(index(Grades, match($E21*100,GradeRange,-1), 1))</f>
        <v/>
      </c>
      <c r="E21" s="93">
        <f t="shared" si="10"/>
        <v>0</v>
      </c>
      <c r="F21" s="94"/>
      <c r="G21" s="101"/>
      <c r="H21" s="94"/>
      <c r="I21" s="101"/>
      <c r="J21" s="94"/>
      <c r="K21" s="102" t="str">
        <f t="shared" si="11"/>
        <v/>
      </c>
      <c r="L21" s="94"/>
      <c r="M21" s="101"/>
      <c r="N21" s="94"/>
      <c r="O21" s="101"/>
      <c r="P21" s="94"/>
      <c r="Q21" s="101"/>
      <c r="R21" s="101"/>
      <c r="S21" s="94"/>
      <c r="T21" s="101"/>
      <c r="U21" s="101"/>
      <c r="V21" s="103" t="str">
        <f t="shared" si="12"/>
        <v/>
      </c>
      <c r="W21" s="94"/>
      <c r="X21" s="101"/>
      <c r="Y21" s="94"/>
      <c r="Z21" s="101"/>
      <c r="AA21" s="94"/>
      <c r="AB21" s="101"/>
      <c r="AC21" s="101"/>
      <c r="AD21" s="94"/>
      <c r="AE21" s="101"/>
      <c r="AF21" s="101"/>
      <c r="AG21" s="103" t="str">
        <f t="shared" si="13"/>
        <v/>
      </c>
      <c r="AH21" s="94"/>
      <c r="AI21" s="101"/>
      <c r="AJ21" s="94"/>
      <c r="AK21" s="101"/>
      <c r="AL21" s="94"/>
      <c r="AM21" s="103" t="str">
        <f t="shared" si="14"/>
        <v/>
      </c>
      <c r="AN21" s="104"/>
      <c r="AO21" s="105"/>
      <c r="AP21" s="103" t="str">
        <f t="shared" si="15"/>
        <v/>
      </c>
    </row>
    <row r="22" ht="19.5" customHeight="1">
      <c r="A22" s="89" t="str">
        <f>'1erTRIM'!A22</f>
        <v/>
      </c>
      <c r="B22" s="90" t="str">
        <f>'1erTRIM'!B22</f>
        <v/>
      </c>
      <c r="C22" s="110" t="str">
        <f>'1erTRIM'!C22</f>
        <v/>
      </c>
      <c r="D22" s="92" t="str">
        <f t="array" ref="D22">IFERROR(index(Grades, match($E22*100,GradeRange,-1), 1))</f>
        <v/>
      </c>
      <c r="E22" s="93">
        <f t="shared" si="10"/>
        <v>0</v>
      </c>
      <c r="F22" s="94"/>
      <c r="G22" s="101"/>
      <c r="H22" s="94"/>
      <c r="I22" s="101"/>
      <c r="J22" s="94"/>
      <c r="K22" s="102" t="str">
        <f t="shared" si="11"/>
        <v/>
      </c>
      <c r="L22" s="94"/>
      <c r="M22" s="101"/>
      <c r="N22" s="94"/>
      <c r="O22" s="101"/>
      <c r="P22" s="94"/>
      <c r="Q22" s="101"/>
      <c r="R22" s="101"/>
      <c r="S22" s="94"/>
      <c r="T22" s="101"/>
      <c r="U22" s="101"/>
      <c r="V22" s="103" t="str">
        <f t="shared" si="12"/>
        <v/>
      </c>
      <c r="W22" s="94"/>
      <c r="X22" s="101"/>
      <c r="Y22" s="94"/>
      <c r="Z22" s="101"/>
      <c r="AA22" s="94"/>
      <c r="AB22" s="101"/>
      <c r="AC22" s="101"/>
      <c r="AD22" s="94"/>
      <c r="AE22" s="101"/>
      <c r="AF22" s="101"/>
      <c r="AG22" s="103" t="str">
        <f t="shared" si="13"/>
        <v/>
      </c>
      <c r="AH22" s="94"/>
      <c r="AI22" s="101"/>
      <c r="AJ22" s="94"/>
      <c r="AK22" s="101"/>
      <c r="AL22" s="94"/>
      <c r="AM22" s="103" t="str">
        <f t="shared" si="14"/>
        <v/>
      </c>
      <c r="AN22" s="104"/>
      <c r="AO22" s="105"/>
      <c r="AP22" s="103" t="str">
        <f t="shared" si="15"/>
        <v/>
      </c>
    </row>
    <row r="23" ht="19.5" customHeight="1">
      <c r="A23" s="89" t="str">
        <f>'1erTRIM'!A23</f>
        <v/>
      </c>
      <c r="B23" s="90" t="str">
        <f>'1erTRIM'!B23</f>
        <v/>
      </c>
      <c r="C23" s="110" t="str">
        <f>'1erTRIM'!C23</f>
        <v/>
      </c>
      <c r="D23" s="92" t="str">
        <f t="array" ref="D23">IFERROR(index(Grades, match($E23*100,GradeRange,-1), 1))</f>
        <v/>
      </c>
      <c r="E23" s="93">
        <f t="shared" si="10"/>
        <v>0</v>
      </c>
      <c r="F23" s="94"/>
      <c r="G23" s="101"/>
      <c r="H23" s="94"/>
      <c r="I23" s="101"/>
      <c r="J23" s="94"/>
      <c r="K23" s="102" t="str">
        <f t="shared" si="11"/>
        <v/>
      </c>
      <c r="L23" s="94"/>
      <c r="M23" s="101"/>
      <c r="N23" s="94"/>
      <c r="O23" s="101"/>
      <c r="P23" s="94"/>
      <c r="Q23" s="101"/>
      <c r="R23" s="101"/>
      <c r="S23" s="94"/>
      <c r="T23" s="101"/>
      <c r="U23" s="101"/>
      <c r="V23" s="103" t="str">
        <f t="shared" si="12"/>
        <v/>
      </c>
      <c r="W23" s="94"/>
      <c r="X23" s="101"/>
      <c r="Y23" s="94"/>
      <c r="Z23" s="101"/>
      <c r="AA23" s="94"/>
      <c r="AB23" s="101"/>
      <c r="AC23" s="101"/>
      <c r="AD23" s="94"/>
      <c r="AE23" s="101"/>
      <c r="AF23" s="101"/>
      <c r="AG23" s="103" t="str">
        <f t="shared" si="13"/>
        <v/>
      </c>
      <c r="AH23" s="94"/>
      <c r="AI23" s="101"/>
      <c r="AJ23" s="94"/>
      <c r="AK23" s="101"/>
      <c r="AL23" s="94"/>
      <c r="AM23" s="103" t="str">
        <f t="shared" si="14"/>
        <v/>
      </c>
      <c r="AN23" s="104"/>
      <c r="AO23" s="105"/>
      <c r="AP23" s="103" t="str">
        <f t="shared" si="15"/>
        <v/>
      </c>
    </row>
    <row r="24" ht="19.5" customHeight="1">
      <c r="A24" s="89" t="str">
        <f>'1erTRIM'!A24</f>
        <v/>
      </c>
      <c r="B24" s="90" t="str">
        <f>'1erTRIM'!B24</f>
        <v/>
      </c>
      <c r="C24" s="110" t="str">
        <f>'1erTRIM'!C24</f>
        <v/>
      </c>
      <c r="D24" s="92" t="str">
        <f t="array" ref="D24">IFERROR(index(Grades, match($E24*100,GradeRange,-1), 1))</f>
        <v/>
      </c>
      <c r="E24" s="93">
        <f t="shared" si="10"/>
        <v>0</v>
      </c>
      <c r="F24" s="94"/>
      <c r="G24" s="101"/>
      <c r="H24" s="94"/>
      <c r="I24" s="101"/>
      <c r="J24" s="94"/>
      <c r="K24" s="102" t="str">
        <f t="shared" si="11"/>
        <v/>
      </c>
      <c r="L24" s="94"/>
      <c r="M24" s="101"/>
      <c r="N24" s="94"/>
      <c r="O24" s="101"/>
      <c r="P24" s="94"/>
      <c r="Q24" s="101"/>
      <c r="R24" s="101"/>
      <c r="S24" s="94"/>
      <c r="T24" s="101"/>
      <c r="U24" s="101"/>
      <c r="V24" s="103" t="str">
        <f t="shared" si="12"/>
        <v/>
      </c>
      <c r="W24" s="94"/>
      <c r="X24" s="101"/>
      <c r="Y24" s="94"/>
      <c r="Z24" s="101"/>
      <c r="AA24" s="94"/>
      <c r="AB24" s="101"/>
      <c r="AC24" s="101"/>
      <c r="AD24" s="94"/>
      <c r="AE24" s="101"/>
      <c r="AF24" s="101"/>
      <c r="AG24" s="103" t="str">
        <f t="shared" si="13"/>
        <v/>
      </c>
      <c r="AH24" s="94"/>
      <c r="AI24" s="101"/>
      <c r="AJ24" s="94"/>
      <c r="AK24" s="101"/>
      <c r="AL24" s="94"/>
      <c r="AM24" s="103" t="str">
        <f t="shared" si="14"/>
        <v/>
      </c>
      <c r="AN24" s="104"/>
      <c r="AO24" s="105"/>
      <c r="AP24" s="103" t="str">
        <f t="shared" si="15"/>
        <v/>
      </c>
    </row>
    <row r="25" ht="19.5" customHeight="1">
      <c r="A25" s="89" t="str">
        <f>'1erTRIM'!A25</f>
        <v/>
      </c>
      <c r="B25" s="90" t="str">
        <f>'1erTRIM'!B25</f>
        <v/>
      </c>
      <c r="C25" s="110" t="str">
        <f>'1erTRIM'!C25</f>
        <v/>
      </c>
      <c r="D25" s="92" t="str">
        <f t="array" ref="D25">IFERROR(index(Grades, match($E25*100,GradeRange,-1), 1))</f>
        <v/>
      </c>
      <c r="E25" s="93">
        <f t="shared" si="10"/>
        <v>0</v>
      </c>
      <c r="F25" s="94"/>
      <c r="G25" s="101"/>
      <c r="H25" s="94"/>
      <c r="I25" s="101"/>
      <c r="J25" s="94"/>
      <c r="K25" s="102" t="str">
        <f t="shared" si="11"/>
        <v/>
      </c>
      <c r="L25" s="94"/>
      <c r="M25" s="101"/>
      <c r="N25" s="94"/>
      <c r="O25" s="101"/>
      <c r="P25" s="94"/>
      <c r="Q25" s="101"/>
      <c r="R25" s="101"/>
      <c r="S25" s="94"/>
      <c r="T25" s="101"/>
      <c r="U25" s="101"/>
      <c r="V25" s="103" t="str">
        <f t="shared" si="12"/>
        <v/>
      </c>
      <c r="W25" s="94"/>
      <c r="X25" s="101"/>
      <c r="Y25" s="94"/>
      <c r="Z25" s="101"/>
      <c r="AA25" s="94"/>
      <c r="AB25" s="101"/>
      <c r="AC25" s="101"/>
      <c r="AD25" s="94"/>
      <c r="AE25" s="101"/>
      <c r="AF25" s="101"/>
      <c r="AG25" s="103" t="str">
        <f t="shared" si="13"/>
        <v/>
      </c>
      <c r="AH25" s="94"/>
      <c r="AI25" s="101"/>
      <c r="AJ25" s="94"/>
      <c r="AK25" s="101"/>
      <c r="AL25" s="94"/>
      <c r="AM25" s="103" t="str">
        <f t="shared" si="14"/>
        <v/>
      </c>
      <c r="AN25" s="104"/>
      <c r="AO25" s="105"/>
      <c r="AP25" s="103" t="str">
        <f t="shared" si="15"/>
        <v/>
      </c>
    </row>
    <row r="26" ht="19.5" customHeight="1">
      <c r="A26" s="89" t="str">
        <f>'1erTRIM'!A26</f>
        <v/>
      </c>
      <c r="B26" s="90" t="str">
        <f>'1erTRIM'!B26</f>
        <v/>
      </c>
      <c r="C26" s="110" t="str">
        <f>'1erTRIM'!C26</f>
        <v/>
      </c>
      <c r="D26" s="92" t="str">
        <f t="array" ref="D26">IFERROR(index(Grades, match($E26*100,GradeRange,-1), 1))</f>
        <v/>
      </c>
      <c r="E26" s="93">
        <f t="shared" si="10"/>
        <v>0</v>
      </c>
      <c r="F26" s="94"/>
      <c r="G26" s="101"/>
      <c r="H26" s="94"/>
      <c r="I26" s="101"/>
      <c r="J26" s="94"/>
      <c r="K26" s="102" t="str">
        <f t="shared" si="11"/>
        <v/>
      </c>
      <c r="L26" s="94"/>
      <c r="M26" s="101"/>
      <c r="N26" s="94"/>
      <c r="O26" s="101"/>
      <c r="P26" s="94"/>
      <c r="Q26" s="101"/>
      <c r="R26" s="101"/>
      <c r="S26" s="94"/>
      <c r="T26" s="101"/>
      <c r="U26" s="101"/>
      <c r="V26" s="103" t="str">
        <f t="shared" si="12"/>
        <v/>
      </c>
      <c r="W26" s="94"/>
      <c r="X26" s="101"/>
      <c r="Y26" s="94"/>
      <c r="Z26" s="101"/>
      <c r="AA26" s="94"/>
      <c r="AB26" s="101"/>
      <c r="AC26" s="101"/>
      <c r="AD26" s="94"/>
      <c r="AE26" s="101"/>
      <c r="AF26" s="101"/>
      <c r="AG26" s="103" t="str">
        <f t="shared" si="13"/>
        <v/>
      </c>
      <c r="AH26" s="94"/>
      <c r="AI26" s="101"/>
      <c r="AJ26" s="94"/>
      <c r="AK26" s="101"/>
      <c r="AL26" s="94"/>
      <c r="AM26" s="103" t="str">
        <f t="shared" si="14"/>
        <v/>
      </c>
      <c r="AN26" s="104"/>
      <c r="AO26" s="105"/>
      <c r="AP26" s="103" t="str">
        <f t="shared" si="15"/>
        <v/>
      </c>
    </row>
    <row r="27" ht="19.5" customHeight="1">
      <c r="A27" s="89" t="str">
        <f>'1erTRIM'!A27</f>
        <v/>
      </c>
      <c r="B27" s="90" t="str">
        <f>'1erTRIM'!B27</f>
        <v/>
      </c>
      <c r="C27" s="110" t="str">
        <f>'1erTRIM'!C27</f>
        <v/>
      </c>
      <c r="D27" s="92" t="str">
        <f t="array" ref="D27">IFERROR(index(Grades, match($E27*100,GradeRange,-1), 1))</f>
        <v/>
      </c>
      <c r="E27" s="93">
        <f t="shared" si="10"/>
        <v>0</v>
      </c>
      <c r="F27" s="94"/>
      <c r="G27" s="101"/>
      <c r="H27" s="94"/>
      <c r="I27" s="101"/>
      <c r="J27" s="94"/>
      <c r="K27" s="102" t="str">
        <f t="shared" si="11"/>
        <v/>
      </c>
      <c r="L27" s="94"/>
      <c r="M27" s="101"/>
      <c r="N27" s="94"/>
      <c r="O27" s="101"/>
      <c r="P27" s="94"/>
      <c r="Q27" s="101"/>
      <c r="R27" s="101"/>
      <c r="S27" s="94"/>
      <c r="T27" s="101"/>
      <c r="U27" s="101"/>
      <c r="V27" s="103" t="str">
        <f t="shared" si="12"/>
        <v/>
      </c>
      <c r="W27" s="94"/>
      <c r="X27" s="101"/>
      <c r="Y27" s="94"/>
      <c r="Z27" s="101"/>
      <c r="AA27" s="94"/>
      <c r="AB27" s="101"/>
      <c r="AC27" s="101"/>
      <c r="AD27" s="94"/>
      <c r="AE27" s="101"/>
      <c r="AF27" s="101"/>
      <c r="AG27" s="103" t="str">
        <f t="shared" si="13"/>
        <v/>
      </c>
      <c r="AH27" s="94"/>
      <c r="AI27" s="101"/>
      <c r="AJ27" s="94"/>
      <c r="AK27" s="101"/>
      <c r="AL27" s="94"/>
      <c r="AM27" s="103" t="str">
        <f t="shared" si="14"/>
        <v/>
      </c>
      <c r="AN27" s="104"/>
      <c r="AO27" s="105"/>
      <c r="AP27" s="103" t="str">
        <f t="shared" si="15"/>
        <v/>
      </c>
    </row>
    <row r="28" ht="19.5" customHeight="1">
      <c r="A28" s="89" t="str">
        <f>'1erTRIM'!A28</f>
        <v/>
      </c>
      <c r="B28" s="90" t="str">
        <f>'1erTRIM'!B28</f>
        <v/>
      </c>
      <c r="C28" s="110" t="str">
        <f>'1erTRIM'!C28</f>
        <v/>
      </c>
      <c r="D28" s="92" t="str">
        <f t="array" ref="D28">IFERROR(index(Grades, match($E28*100,GradeRange,-1), 1))</f>
        <v/>
      </c>
      <c r="E28" s="93">
        <f t="shared" si="10"/>
        <v>0</v>
      </c>
      <c r="F28" s="94"/>
      <c r="G28" s="101"/>
      <c r="H28" s="94"/>
      <c r="I28" s="101"/>
      <c r="J28" s="94"/>
      <c r="K28" s="102" t="str">
        <f t="shared" si="11"/>
        <v/>
      </c>
      <c r="L28" s="94"/>
      <c r="M28" s="101"/>
      <c r="N28" s="94"/>
      <c r="O28" s="101"/>
      <c r="P28" s="94"/>
      <c r="Q28" s="101"/>
      <c r="R28" s="101"/>
      <c r="S28" s="94"/>
      <c r="T28" s="101"/>
      <c r="U28" s="101"/>
      <c r="V28" s="103" t="str">
        <f t="shared" si="12"/>
        <v/>
      </c>
      <c r="W28" s="94"/>
      <c r="X28" s="101"/>
      <c r="Y28" s="94"/>
      <c r="Z28" s="101"/>
      <c r="AA28" s="94"/>
      <c r="AB28" s="101"/>
      <c r="AC28" s="101"/>
      <c r="AD28" s="94"/>
      <c r="AE28" s="101"/>
      <c r="AF28" s="101"/>
      <c r="AG28" s="103" t="str">
        <f t="shared" si="13"/>
        <v/>
      </c>
      <c r="AH28" s="94"/>
      <c r="AI28" s="101"/>
      <c r="AJ28" s="94"/>
      <c r="AK28" s="101"/>
      <c r="AL28" s="94"/>
      <c r="AM28" s="103" t="str">
        <f t="shared" si="14"/>
        <v/>
      </c>
      <c r="AN28" s="104"/>
      <c r="AO28" s="105"/>
      <c r="AP28" s="103" t="str">
        <f t="shared" si="15"/>
        <v/>
      </c>
    </row>
    <row r="29" ht="19.5" customHeight="1">
      <c r="A29" s="89" t="str">
        <f>'1erTRIM'!A29</f>
        <v/>
      </c>
      <c r="B29" s="90" t="str">
        <f>'1erTRIM'!B29</f>
        <v/>
      </c>
      <c r="C29" s="110" t="str">
        <f>'1erTRIM'!C29</f>
        <v/>
      </c>
      <c r="D29" s="92" t="str">
        <f t="array" ref="D29">IFERROR(index(Grades, match($E29*100,GradeRange,-1), 1))</f>
        <v/>
      </c>
      <c r="E29" s="93">
        <f t="shared" si="10"/>
        <v>0</v>
      </c>
      <c r="F29" s="94"/>
      <c r="G29" s="101"/>
      <c r="H29" s="94"/>
      <c r="I29" s="101"/>
      <c r="J29" s="94"/>
      <c r="K29" s="102" t="str">
        <f t="shared" si="11"/>
        <v/>
      </c>
      <c r="L29" s="94"/>
      <c r="M29" s="101"/>
      <c r="N29" s="94"/>
      <c r="O29" s="101"/>
      <c r="P29" s="94"/>
      <c r="Q29" s="101"/>
      <c r="R29" s="101"/>
      <c r="S29" s="94"/>
      <c r="T29" s="101"/>
      <c r="U29" s="101"/>
      <c r="V29" s="103" t="str">
        <f t="shared" si="12"/>
        <v/>
      </c>
      <c r="W29" s="94"/>
      <c r="X29" s="101"/>
      <c r="Y29" s="94"/>
      <c r="Z29" s="101"/>
      <c r="AA29" s="94"/>
      <c r="AB29" s="101"/>
      <c r="AC29" s="101"/>
      <c r="AD29" s="94"/>
      <c r="AE29" s="101"/>
      <c r="AF29" s="101"/>
      <c r="AG29" s="103" t="str">
        <f t="shared" si="13"/>
        <v/>
      </c>
      <c r="AH29" s="94"/>
      <c r="AI29" s="101"/>
      <c r="AJ29" s="94"/>
      <c r="AK29" s="101"/>
      <c r="AL29" s="94"/>
      <c r="AM29" s="103" t="str">
        <f t="shared" si="14"/>
        <v/>
      </c>
      <c r="AN29" s="104"/>
      <c r="AO29" s="105"/>
      <c r="AP29" s="103" t="str">
        <f t="shared" si="15"/>
        <v/>
      </c>
    </row>
    <row r="30" ht="19.5" customHeight="1">
      <c r="A30" s="89" t="str">
        <f>'1erTRIM'!A30</f>
        <v/>
      </c>
      <c r="B30" s="90" t="str">
        <f>'1erTRIM'!B30</f>
        <v/>
      </c>
      <c r="C30" s="110" t="str">
        <f>'1erTRIM'!C30</f>
        <v/>
      </c>
      <c r="D30" s="92" t="str">
        <f t="array" ref="D30">IFERROR(index(Grades, match($E30*100,GradeRange,-1), 1))</f>
        <v/>
      </c>
      <c r="E30" s="93">
        <f t="shared" si="10"/>
        <v>0</v>
      </c>
      <c r="F30" s="94"/>
      <c r="G30" s="101"/>
      <c r="H30" s="94"/>
      <c r="I30" s="101"/>
      <c r="J30" s="94"/>
      <c r="K30" s="102" t="str">
        <f t="shared" si="11"/>
        <v/>
      </c>
      <c r="L30" s="94"/>
      <c r="M30" s="101"/>
      <c r="N30" s="94"/>
      <c r="O30" s="101"/>
      <c r="P30" s="94"/>
      <c r="Q30" s="101"/>
      <c r="R30" s="101"/>
      <c r="S30" s="94"/>
      <c r="T30" s="101"/>
      <c r="U30" s="101"/>
      <c r="V30" s="103" t="str">
        <f t="shared" si="12"/>
        <v/>
      </c>
      <c r="W30" s="94"/>
      <c r="X30" s="101"/>
      <c r="Y30" s="94"/>
      <c r="Z30" s="101"/>
      <c r="AA30" s="94"/>
      <c r="AB30" s="101"/>
      <c r="AC30" s="101"/>
      <c r="AD30" s="94"/>
      <c r="AE30" s="101"/>
      <c r="AF30" s="101"/>
      <c r="AG30" s="103" t="str">
        <f t="shared" si="13"/>
        <v/>
      </c>
      <c r="AH30" s="94"/>
      <c r="AI30" s="101"/>
      <c r="AJ30" s="94"/>
      <c r="AK30" s="101"/>
      <c r="AL30" s="94"/>
      <c r="AM30" s="103" t="str">
        <f t="shared" si="14"/>
        <v/>
      </c>
      <c r="AN30" s="104"/>
      <c r="AO30" s="105"/>
      <c r="AP30" s="103" t="str">
        <f t="shared" si="15"/>
        <v/>
      </c>
    </row>
    <row r="31" ht="19.5" customHeight="1">
      <c r="A31" s="89" t="str">
        <f>'1erTRIM'!A31</f>
        <v/>
      </c>
      <c r="B31" s="90" t="str">
        <f>'1erTRIM'!B31</f>
        <v/>
      </c>
      <c r="C31" s="110" t="str">
        <f>'1erTRIM'!C31</f>
        <v/>
      </c>
      <c r="D31" s="92" t="str">
        <f t="array" ref="D31">IFERROR(index(Grades, match($E31*100,GradeRange,-1), 1))</f>
        <v/>
      </c>
      <c r="E31" s="93">
        <f t="shared" si="10"/>
        <v>0</v>
      </c>
      <c r="F31" s="94"/>
      <c r="G31" s="101"/>
      <c r="H31" s="94"/>
      <c r="I31" s="101"/>
      <c r="J31" s="94"/>
      <c r="K31" s="102" t="str">
        <f t="shared" si="11"/>
        <v/>
      </c>
      <c r="L31" s="94"/>
      <c r="M31" s="101"/>
      <c r="N31" s="94"/>
      <c r="O31" s="101"/>
      <c r="P31" s="94"/>
      <c r="Q31" s="101"/>
      <c r="R31" s="101"/>
      <c r="S31" s="94"/>
      <c r="T31" s="101"/>
      <c r="U31" s="101"/>
      <c r="V31" s="103" t="str">
        <f t="shared" si="12"/>
        <v/>
      </c>
      <c r="W31" s="94"/>
      <c r="X31" s="101"/>
      <c r="Y31" s="94"/>
      <c r="Z31" s="101"/>
      <c r="AA31" s="94"/>
      <c r="AB31" s="101"/>
      <c r="AC31" s="101"/>
      <c r="AD31" s="94"/>
      <c r="AE31" s="101"/>
      <c r="AF31" s="101"/>
      <c r="AG31" s="103" t="str">
        <f t="shared" si="13"/>
        <v/>
      </c>
      <c r="AH31" s="94"/>
      <c r="AI31" s="101"/>
      <c r="AJ31" s="94"/>
      <c r="AK31" s="101"/>
      <c r="AL31" s="94"/>
      <c r="AM31" s="103" t="str">
        <f t="shared" si="14"/>
        <v/>
      </c>
      <c r="AN31" s="104"/>
      <c r="AO31" s="105"/>
      <c r="AP31" s="103" t="str">
        <f t="shared" si="15"/>
        <v/>
      </c>
    </row>
    <row r="32" ht="19.5" customHeight="1">
      <c r="A32" s="106" t="str">
        <f>'1erTRIM'!A32</f>
        <v/>
      </c>
      <c r="B32" s="90" t="str">
        <f>'1erTRIM'!B32</f>
        <v/>
      </c>
      <c r="C32" s="110" t="str">
        <f>'1erTRIM'!C32</f>
        <v/>
      </c>
      <c r="D32" s="92" t="str">
        <f t="array" ref="D32">IFERROR(index(Grades, match($E32*100,GradeRange,-1), 1))</f>
        <v/>
      </c>
      <c r="E32" s="93">
        <f t="shared" si="10"/>
        <v>0</v>
      </c>
      <c r="F32" s="94"/>
      <c r="G32" s="101"/>
      <c r="H32" s="94"/>
      <c r="I32" s="101"/>
      <c r="J32" s="94"/>
      <c r="K32" s="102" t="str">
        <f t="shared" si="11"/>
        <v/>
      </c>
      <c r="L32" s="94"/>
      <c r="M32" s="101"/>
      <c r="N32" s="94"/>
      <c r="O32" s="101"/>
      <c r="P32" s="94"/>
      <c r="Q32" s="101"/>
      <c r="R32" s="101"/>
      <c r="S32" s="94"/>
      <c r="T32" s="101"/>
      <c r="U32" s="101"/>
      <c r="V32" s="102" t="str">
        <f t="shared" si="12"/>
        <v/>
      </c>
      <c r="W32" s="94"/>
      <c r="X32" s="101"/>
      <c r="Y32" s="94"/>
      <c r="Z32" s="101"/>
      <c r="AA32" s="94"/>
      <c r="AB32" s="101"/>
      <c r="AC32" s="101"/>
      <c r="AD32" s="94"/>
      <c r="AE32" s="101"/>
      <c r="AF32" s="101"/>
      <c r="AG32" s="102" t="str">
        <f t="shared" si="13"/>
        <v/>
      </c>
      <c r="AH32" s="94"/>
      <c r="AI32" s="101"/>
      <c r="AJ32" s="94"/>
      <c r="AK32" s="101"/>
      <c r="AL32" s="94"/>
      <c r="AM32" s="102" t="str">
        <f t="shared" si="14"/>
        <v/>
      </c>
      <c r="AN32" s="107"/>
      <c r="AO32" s="108"/>
      <c r="AP32" s="102" t="str">
        <f t="shared" si="15"/>
        <v/>
      </c>
    </row>
    <row r="33" ht="19.5" customHeight="1">
      <c r="A33" s="106" t="str">
        <f>'1erTRIM'!A33</f>
        <v/>
      </c>
      <c r="B33" s="90" t="str">
        <f>'1erTRIM'!B33</f>
        <v/>
      </c>
      <c r="C33" s="110" t="str">
        <f>'1erTRIM'!C33</f>
        <v/>
      </c>
      <c r="D33" s="92" t="str">
        <f t="array" ref="D33">IFERROR(index(Grades, match($E33*100,GradeRange,-1), 1))</f>
        <v/>
      </c>
      <c r="E33" s="93">
        <f t="shared" si="10"/>
        <v>0</v>
      </c>
      <c r="F33" s="94"/>
      <c r="G33" s="101"/>
      <c r="H33" s="94"/>
      <c r="I33" s="101"/>
      <c r="J33" s="94"/>
      <c r="K33" s="102" t="str">
        <f t="shared" si="11"/>
        <v/>
      </c>
      <c r="L33" s="94"/>
      <c r="M33" s="101"/>
      <c r="N33" s="94"/>
      <c r="O33" s="101"/>
      <c r="P33" s="94"/>
      <c r="Q33" s="101"/>
      <c r="R33" s="101"/>
      <c r="S33" s="94"/>
      <c r="T33" s="101"/>
      <c r="U33" s="101"/>
      <c r="V33" s="102" t="str">
        <f t="shared" si="12"/>
        <v/>
      </c>
      <c r="W33" s="94"/>
      <c r="X33" s="101"/>
      <c r="Y33" s="94"/>
      <c r="Z33" s="101"/>
      <c r="AA33" s="94"/>
      <c r="AB33" s="101"/>
      <c r="AC33" s="101"/>
      <c r="AD33" s="94"/>
      <c r="AE33" s="101"/>
      <c r="AF33" s="101"/>
      <c r="AG33" s="102" t="str">
        <f t="shared" si="13"/>
        <v/>
      </c>
      <c r="AH33" s="94"/>
      <c r="AI33" s="101"/>
      <c r="AJ33" s="94"/>
      <c r="AK33" s="101"/>
      <c r="AL33" s="94"/>
      <c r="AM33" s="102" t="str">
        <f t="shared" si="14"/>
        <v/>
      </c>
      <c r="AN33" s="107"/>
      <c r="AO33" s="108"/>
      <c r="AP33" s="102" t="str">
        <f t="shared" si="15"/>
        <v/>
      </c>
    </row>
    <row r="34" ht="19.5" customHeight="1">
      <c r="A34" s="106" t="str">
        <f>'1erTRIM'!A34</f>
        <v/>
      </c>
      <c r="B34" s="90" t="str">
        <f>'1erTRIM'!B34</f>
        <v/>
      </c>
      <c r="C34" s="110" t="str">
        <f>'1erTRIM'!C34</f>
        <v/>
      </c>
      <c r="D34" s="92" t="str">
        <f t="array" ref="D34">IFERROR(index(Grades, match($E34*100,GradeRange,-1), 1))</f>
        <v/>
      </c>
      <c r="E34" s="93">
        <f t="shared" si="10"/>
        <v>0</v>
      </c>
      <c r="F34" s="38"/>
      <c r="G34" s="109"/>
      <c r="H34" s="38"/>
      <c r="I34" s="109"/>
      <c r="J34" s="38"/>
      <c r="K34" s="102" t="str">
        <f t="shared" si="11"/>
        <v/>
      </c>
      <c r="L34" s="38"/>
      <c r="M34" s="109"/>
      <c r="N34" s="38"/>
      <c r="O34" s="109"/>
      <c r="P34" s="38"/>
      <c r="Q34" s="109"/>
      <c r="R34" s="109"/>
      <c r="S34" s="38"/>
      <c r="T34" s="109"/>
      <c r="U34" s="109"/>
      <c r="V34" s="102" t="str">
        <f t="shared" si="12"/>
        <v/>
      </c>
      <c r="W34" s="38"/>
      <c r="X34" s="109"/>
      <c r="Y34" s="38"/>
      <c r="Z34" s="109"/>
      <c r="AA34" s="38"/>
      <c r="AB34" s="109"/>
      <c r="AC34" s="109"/>
      <c r="AD34" s="38"/>
      <c r="AE34" s="109"/>
      <c r="AF34" s="109"/>
      <c r="AG34" s="102" t="str">
        <f t="shared" si="13"/>
        <v/>
      </c>
      <c r="AH34" s="38"/>
      <c r="AI34" s="109"/>
      <c r="AJ34" s="38"/>
      <c r="AK34" s="109"/>
      <c r="AL34" s="38"/>
      <c r="AM34" s="102" t="str">
        <f t="shared" si="14"/>
        <v/>
      </c>
      <c r="AN34" s="107"/>
      <c r="AO34" s="108"/>
      <c r="AP34" s="102" t="str">
        <f t="shared" si="15"/>
        <v/>
      </c>
    </row>
    <row r="35" ht="19.5" customHeight="1">
      <c r="A35" s="106" t="str">
        <f>'1erTRIM'!A35</f>
        <v/>
      </c>
      <c r="B35" s="90" t="str">
        <f>'1erTRIM'!B35</f>
        <v/>
      </c>
      <c r="C35" s="110" t="str">
        <f>'1erTRIM'!C35</f>
        <v/>
      </c>
      <c r="D35" s="92" t="str">
        <f t="array" ref="D35">IFERROR(index(Grades, match($E35*100,GradeRange,-1), 1))</f>
        <v/>
      </c>
      <c r="E35" s="93">
        <f t="shared" si="10"/>
        <v>0</v>
      </c>
      <c r="F35" s="38"/>
      <c r="G35" s="109"/>
      <c r="H35" s="38"/>
      <c r="I35" s="109"/>
      <c r="J35" s="38"/>
      <c r="K35" s="102" t="str">
        <f t="shared" si="11"/>
        <v/>
      </c>
      <c r="L35" s="38"/>
      <c r="M35" s="109"/>
      <c r="N35" s="38"/>
      <c r="O35" s="109"/>
      <c r="P35" s="38"/>
      <c r="Q35" s="109"/>
      <c r="R35" s="109"/>
      <c r="S35" s="38"/>
      <c r="T35" s="109"/>
      <c r="U35" s="109"/>
      <c r="V35" s="102" t="str">
        <f t="shared" si="12"/>
        <v/>
      </c>
      <c r="W35" s="38"/>
      <c r="X35" s="109"/>
      <c r="Y35" s="38"/>
      <c r="Z35" s="109"/>
      <c r="AA35" s="38"/>
      <c r="AB35" s="109"/>
      <c r="AC35" s="109"/>
      <c r="AD35" s="38"/>
      <c r="AE35" s="109"/>
      <c r="AF35" s="109"/>
      <c r="AG35" s="102" t="str">
        <f t="shared" si="13"/>
        <v/>
      </c>
      <c r="AH35" s="38"/>
      <c r="AI35" s="109"/>
      <c r="AJ35" s="38"/>
      <c r="AK35" s="109"/>
      <c r="AL35" s="38"/>
      <c r="AM35" s="102" t="str">
        <f t="shared" si="14"/>
        <v/>
      </c>
      <c r="AN35" s="107"/>
      <c r="AO35" s="108"/>
      <c r="AP35" s="102" t="str">
        <f t="shared" si="15"/>
        <v/>
      </c>
    </row>
    <row r="36" ht="19.5" customHeight="1">
      <c r="A36" s="106" t="str">
        <f>'1erTRIM'!A36</f>
        <v/>
      </c>
      <c r="B36" s="90" t="str">
        <f>'1erTRIM'!B36</f>
        <v/>
      </c>
      <c r="C36" s="110" t="str">
        <f>'1erTRIM'!C36</f>
        <v/>
      </c>
      <c r="D36" s="92" t="str">
        <f t="array" ref="D36">IFERROR(index(Grades, match($E36*100,GradeRange,-1), 1))</f>
        <v/>
      </c>
      <c r="E36" s="93">
        <f t="shared" si="10"/>
        <v>0</v>
      </c>
      <c r="F36" s="38"/>
      <c r="G36" s="109"/>
      <c r="H36" s="38"/>
      <c r="I36" s="109"/>
      <c r="J36" s="38"/>
      <c r="K36" s="102" t="str">
        <f t="shared" si="11"/>
        <v/>
      </c>
      <c r="L36" s="38"/>
      <c r="M36" s="109"/>
      <c r="N36" s="38"/>
      <c r="O36" s="109"/>
      <c r="P36" s="38"/>
      <c r="Q36" s="109"/>
      <c r="R36" s="109"/>
      <c r="S36" s="38"/>
      <c r="T36" s="109"/>
      <c r="U36" s="109"/>
      <c r="V36" s="102" t="str">
        <f t="shared" si="12"/>
        <v/>
      </c>
      <c r="W36" s="38"/>
      <c r="X36" s="109"/>
      <c r="Y36" s="38"/>
      <c r="Z36" s="109"/>
      <c r="AA36" s="38"/>
      <c r="AB36" s="109"/>
      <c r="AC36" s="109"/>
      <c r="AD36" s="38"/>
      <c r="AE36" s="109"/>
      <c r="AF36" s="109"/>
      <c r="AG36" s="102" t="str">
        <f t="shared" si="13"/>
        <v/>
      </c>
      <c r="AH36" s="38"/>
      <c r="AI36" s="109"/>
      <c r="AJ36" s="38"/>
      <c r="AK36" s="109"/>
      <c r="AL36" s="38"/>
      <c r="AM36" s="102" t="str">
        <f t="shared" si="14"/>
        <v/>
      </c>
      <c r="AN36" s="107"/>
      <c r="AO36" s="108"/>
      <c r="AP36" s="102" t="str">
        <f t="shared" si="15"/>
        <v/>
      </c>
    </row>
    <row r="37" ht="19.5" customHeight="1">
      <c r="A37" s="106" t="str">
        <f>'1erTRIM'!A37</f>
        <v/>
      </c>
      <c r="B37" s="90" t="str">
        <f>'1erTRIM'!B37</f>
        <v/>
      </c>
      <c r="C37" s="110" t="str">
        <f>'1erTRIM'!C37</f>
        <v/>
      </c>
      <c r="D37" s="92" t="str">
        <f t="array" ref="D37">IFERROR(index(Grades, match($E37*100,GradeRange,-1), 1))</f>
        <v/>
      </c>
      <c r="E37" s="93">
        <f t="shared" si="10"/>
        <v>0</v>
      </c>
      <c r="F37" s="38"/>
      <c r="G37" s="111"/>
      <c r="H37" s="38"/>
      <c r="I37" s="111"/>
      <c r="J37" s="38"/>
      <c r="K37" s="112" t="str">
        <f t="shared" si="11"/>
        <v/>
      </c>
      <c r="L37" s="38"/>
      <c r="M37" s="111"/>
      <c r="N37" s="38"/>
      <c r="O37" s="111"/>
      <c r="P37" s="38"/>
      <c r="Q37" s="111"/>
      <c r="R37" s="111"/>
      <c r="S37" s="38"/>
      <c r="T37" s="111"/>
      <c r="U37" s="111"/>
      <c r="V37" s="112" t="str">
        <f t="shared" si="12"/>
        <v/>
      </c>
      <c r="W37" s="38"/>
      <c r="X37" s="111"/>
      <c r="Y37" s="38"/>
      <c r="Z37" s="111"/>
      <c r="AA37" s="38"/>
      <c r="AB37" s="111"/>
      <c r="AC37" s="111"/>
      <c r="AD37" s="38"/>
      <c r="AE37" s="111"/>
      <c r="AF37" s="111"/>
      <c r="AG37" s="112" t="str">
        <f t="shared" si="13"/>
        <v/>
      </c>
      <c r="AH37" s="38"/>
      <c r="AI37" s="111"/>
      <c r="AJ37" s="38"/>
      <c r="AK37" s="111"/>
      <c r="AL37" s="38"/>
      <c r="AM37" s="112" t="str">
        <f t="shared" si="14"/>
        <v/>
      </c>
      <c r="AN37" s="113"/>
      <c r="AO37" s="114"/>
      <c r="AP37" s="112" t="str">
        <f t="shared" si="15"/>
        <v/>
      </c>
    </row>
    <row r="38" ht="17.25" customHeight="1">
      <c r="A38" s="115"/>
      <c r="B38" s="116"/>
      <c r="C38" s="117">
        <f>COUNTA(C8:C37)</f>
        <v>0</v>
      </c>
      <c r="D38" s="116"/>
      <c r="E38" s="118"/>
      <c r="F38" s="119">
        <f t="shared" ref="F38:AF38" si="16">IF(OR(COUNT(F8:F37)=$C$38,COUNT(F8:F37)=0),0,1)</f>
        <v>0</v>
      </c>
      <c r="G38" s="119">
        <f t="shared" si="16"/>
        <v>0</v>
      </c>
      <c r="H38" s="119">
        <f t="shared" si="16"/>
        <v>0</v>
      </c>
      <c r="I38" s="119">
        <f t="shared" si="16"/>
        <v>0</v>
      </c>
      <c r="J38" s="119">
        <f t="shared" si="16"/>
        <v>0</v>
      </c>
      <c r="K38" s="119">
        <f t="shared" si="16"/>
        <v>0</v>
      </c>
      <c r="L38" s="119">
        <f t="shared" si="16"/>
        <v>0</v>
      </c>
      <c r="M38" s="119">
        <f t="shared" si="16"/>
        <v>0</v>
      </c>
      <c r="N38" s="119">
        <f t="shared" si="16"/>
        <v>0</v>
      </c>
      <c r="O38" s="119">
        <f t="shared" si="16"/>
        <v>0</v>
      </c>
      <c r="P38" s="119">
        <f t="shared" si="16"/>
        <v>0</v>
      </c>
      <c r="Q38" s="119">
        <f t="shared" si="16"/>
        <v>0</v>
      </c>
      <c r="R38" s="119">
        <f t="shared" si="16"/>
        <v>0</v>
      </c>
      <c r="S38" s="119">
        <f t="shared" si="16"/>
        <v>0</v>
      </c>
      <c r="T38" s="119">
        <f t="shared" si="16"/>
        <v>0</v>
      </c>
      <c r="U38" s="119">
        <f t="shared" si="16"/>
        <v>0</v>
      </c>
      <c r="V38" s="119">
        <f t="shared" si="16"/>
        <v>0</v>
      </c>
      <c r="W38" s="119">
        <f t="shared" si="16"/>
        <v>0</v>
      </c>
      <c r="X38" s="119">
        <f t="shared" si="16"/>
        <v>0</v>
      </c>
      <c r="Y38" s="119">
        <f t="shared" si="16"/>
        <v>0</v>
      </c>
      <c r="Z38" s="119">
        <f t="shared" si="16"/>
        <v>0</v>
      </c>
      <c r="AA38" s="119">
        <f t="shared" si="16"/>
        <v>0</v>
      </c>
      <c r="AB38" s="119">
        <f t="shared" si="16"/>
        <v>0</v>
      </c>
      <c r="AC38" s="119">
        <f t="shared" si="16"/>
        <v>0</v>
      </c>
      <c r="AD38" s="119">
        <f t="shared" si="16"/>
        <v>0</v>
      </c>
      <c r="AE38" s="119">
        <f t="shared" si="16"/>
        <v>0</v>
      </c>
      <c r="AF38" s="119">
        <f t="shared" si="16"/>
        <v>0</v>
      </c>
      <c r="AG38" s="119"/>
      <c r="AH38" s="119">
        <f t="shared" ref="AH38:AL38" si="17">IF(OR(COUNT(AH8:AH37)=$C$38,COUNT(AH8:AH37)=0),0,1)</f>
        <v>0</v>
      </c>
      <c r="AI38" s="119">
        <f t="shared" si="17"/>
        <v>0</v>
      </c>
      <c r="AJ38" s="119">
        <f t="shared" si="17"/>
        <v>0</v>
      </c>
      <c r="AK38" s="119">
        <f t="shared" si="17"/>
        <v>0</v>
      </c>
      <c r="AL38" s="119">
        <f t="shared" si="17"/>
        <v>0</v>
      </c>
      <c r="AM38" s="119"/>
      <c r="AN38" s="119">
        <f t="shared" ref="AN38:AO38" si="18">IF(OR(COUNT(AN8:AN37)=$C$38,COUNT(AN8:AN37)=0),0,1)</f>
        <v>0</v>
      </c>
      <c r="AO38" s="119">
        <f t="shared" si="18"/>
        <v>0</v>
      </c>
      <c r="AP38" s="119">
        <f>SUM(F38:AO38)</f>
        <v>0</v>
      </c>
    </row>
    <row r="39" ht="17.25" customHeight="1">
      <c r="A39" s="120"/>
      <c r="B39" s="121" t="s">
        <v>39</v>
      </c>
      <c r="F39" s="122">
        <f t="shared" ref="F39:AP39" si="19">IFERROR(MEDIAN(F8:F37),0)</f>
        <v>0</v>
      </c>
      <c r="G39" s="122">
        <f t="shared" si="19"/>
        <v>0</v>
      </c>
      <c r="H39" s="122">
        <f t="shared" si="19"/>
        <v>0</v>
      </c>
      <c r="I39" s="122">
        <f t="shared" si="19"/>
        <v>0</v>
      </c>
      <c r="J39" s="122">
        <f t="shared" si="19"/>
        <v>0</v>
      </c>
      <c r="K39" s="122">
        <f t="shared" si="19"/>
        <v>0</v>
      </c>
      <c r="L39" s="122">
        <f t="shared" si="19"/>
        <v>0</v>
      </c>
      <c r="M39" s="122">
        <f t="shared" si="19"/>
        <v>0</v>
      </c>
      <c r="N39" s="122">
        <f t="shared" si="19"/>
        <v>0</v>
      </c>
      <c r="O39" s="122">
        <f t="shared" si="19"/>
        <v>0</v>
      </c>
      <c r="P39" s="122">
        <f t="shared" si="19"/>
        <v>0</v>
      </c>
      <c r="Q39" s="122">
        <f t="shared" si="19"/>
        <v>0</v>
      </c>
      <c r="R39" s="122">
        <f t="shared" si="19"/>
        <v>0</v>
      </c>
      <c r="S39" s="122">
        <f t="shared" si="19"/>
        <v>0</v>
      </c>
      <c r="T39" s="122">
        <f t="shared" si="19"/>
        <v>0</v>
      </c>
      <c r="U39" s="122">
        <f t="shared" si="19"/>
        <v>0</v>
      </c>
      <c r="V39" s="122">
        <f t="shared" si="19"/>
        <v>0</v>
      </c>
      <c r="W39" s="122">
        <f t="shared" si="19"/>
        <v>0</v>
      </c>
      <c r="X39" s="122">
        <f t="shared" si="19"/>
        <v>0</v>
      </c>
      <c r="Y39" s="122">
        <f t="shared" si="19"/>
        <v>0</v>
      </c>
      <c r="Z39" s="122">
        <f t="shared" si="19"/>
        <v>0</v>
      </c>
      <c r="AA39" s="122">
        <f t="shared" si="19"/>
        <v>0</v>
      </c>
      <c r="AB39" s="122">
        <f t="shared" si="19"/>
        <v>0</v>
      </c>
      <c r="AC39" s="122">
        <f t="shared" si="19"/>
        <v>0</v>
      </c>
      <c r="AD39" s="122">
        <f t="shared" si="19"/>
        <v>0</v>
      </c>
      <c r="AE39" s="122">
        <f t="shared" si="19"/>
        <v>0</v>
      </c>
      <c r="AF39" s="122">
        <f t="shared" si="19"/>
        <v>0</v>
      </c>
      <c r="AG39" s="122">
        <f t="shared" si="19"/>
        <v>0</v>
      </c>
      <c r="AH39" s="122">
        <f t="shared" si="19"/>
        <v>0</v>
      </c>
      <c r="AI39" s="122">
        <f t="shared" si="19"/>
        <v>0</v>
      </c>
      <c r="AJ39" s="122">
        <f t="shared" si="19"/>
        <v>0</v>
      </c>
      <c r="AK39" s="122">
        <f t="shared" si="19"/>
        <v>0</v>
      </c>
      <c r="AL39" s="122">
        <f t="shared" si="19"/>
        <v>0</v>
      </c>
      <c r="AM39" s="122">
        <f t="shared" si="19"/>
        <v>0</v>
      </c>
      <c r="AN39" s="122">
        <f t="shared" si="19"/>
        <v>0</v>
      </c>
      <c r="AO39" s="122">
        <f t="shared" si="19"/>
        <v>0</v>
      </c>
      <c r="AP39" s="122">
        <f t="shared" si="19"/>
        <v>0</v>
      </c>
    </row>
    <row r="40" ht="17.25" customHeight="1">
      <c r="A40" s="120"/>
      <c r="B40" s="123" t="s">
        <v>40</v>
      </c>
      <c r="F40" s="124">
        <f t="shared" ref="F40:AP40" si="20">MAX(F8:F37)</f>
        <v>0</v>
      </c>
      <c r="G40" s="124">
        <f t="shared" si="20"/>
        <v>0</v>
      </c>
      <c r="H40" s="124">
        <f t="shared" si="20"/>
        <v>0</v>
      </c>
      <c r="I40" s="124">
        <f t="shared" si="20"/>
        <v>0</v>
      </c>
      <c r="J40" s="124">
        <f t="shared" si="20"/>
        <v>0</v>
      </c>
      <c r="K40" s="124">
        <f t="shared" si="20"/>
        <v>0</v>
      </c>
      <c r="L40" s="124">
        <f t="shared" si="20"/>
        <v>0</v>
      </c>
      <c r="M40" s="124">
        <f t="shared" si="20"/>
        <v>0</v>
      </c>
      <c r="N40" s="124">
        <f t="shared" si="20"/>
        <v>0</v>
      </c>
      <c r="O40" s="124">
        <f t="shared" si="20"/>
        <v>0</v>
      </c>
      <c r="P40" s="124">
        <f t="shared" si="20"/>
        <v>0</v>
      </c>
      <c r="Q40" s="124">
        <f t="shared" si="20"/>
        <v>0</v>
      </c>
      <c r="R40" s="124">
        <f t="shared" si="20"/>
        <v>0</v>
      </c>
      <c r="S40" s="124">
        <f t="shared" si="20"/>
        <v>0</v>
      </c>
      <c r="T40" s="124">
        <f t="shared" si="20"/>
        <v>0</v>
      </c>
      <c r="U40" s="124">
        <f t="shared" si="20"/>
        <v>0</v>
      </c>
      <c r="V40" s="124">
        <f t="shared" si="20"/>
        <v>0</v>
      </c>
      <c r="W40" s="124">
        <f t="shared" si="20"/>
        <v>0</v>
      </c>
      <c r="X40" s="124">
        <f t="shared" si="20"/>
        <v>0</v>
      </c>
      <c r="Y40" s="124">
        <f t="shared" si="20"/>
        <v>0</v>
      </c>
      <c r="Z40" s="124">
        <f t="shared" si="20"/>
        <v>0</v>
      </c>
      <c r="AA40" s="124">
        <f t="shared" si="20"/>
        <v>0</v>
      </c>
      <c r="AB40" s="124">
        <f t="shared" si="20"/>
        <v>0</v>
      </c>
      <c r="AC40" s="124">
        <f t="shared" si="20"/>
        <v>0</v>
      </c>
      <c r="AD40" s="124">
        <f t="shared" si="20"/>
        <v>0</v>
      </c>
      <c r="AE40" s="124">
        <f t="shared" si="20"/>
        <v>0</v>
      </c>
      <c r="AF40" s="124">
        <f t="shared" si="20"/>
        <v>0</v>
      </c>
      <c r="AG40" s="124">
        <f t="shared" si="20"/>
        <v>0</v>
      </c>
      <c r="AH40" s="124">
        <f t="shared" si="20"/>
        <v>0</v>
      </c>
      <c r="AI40" s="124">
        <f t="shared" si="20"/>
        <v>0</v>
      </c>
      <c r="AJ40" s="124">
        <f t="shared" si="20"/>
        <v>0</v>
      </c>
      <c r="AK40" s="124">
        <f t="shared" si="20"/>
        <v>0</v>
      </c>
      <c r="AL40" s="124">
        <f t="shared" si="20"/>
        <v>0</v>
      </c>
      <c r="AM40" s="124">
        <f t="shared" si="20"/>
        <v>0</v>
      </c>
      <c r="AN40" s="124">
        <f t="shared" si="20"/>
        <v>0</v>
      </c>
      <c r="AO40" s="124">
        <f t="shared" si="20"/>
        <v>0</v>
      </c>
      <c r="AP40" s="124">
        <f t="shared" si="20"/>
        <v>0</v>
      </c>
    </row>
    <row r="41" ht="17.25" customHeight="1">
      <c r="A41" s="125">
        <v>2.0</v>
      </c>
      <c r="B41" s="121" t="s">
        <v>41</v>
      </c>
      <c r="F41" s="122">
        <f t="shared" ref="F41:AP41" si="21">MIN(F9:F37)</f>
        <v>0</v>
      </c>
      <c r="G41" s="122">
        <f t="shared" si="21"/>
        <v>0</v>
      </c>
      <c r="H41" s="122">
        <f t="shared" si="21"/>
        <v>0</v>
      </c>
      <c r="I41" s="122">
        <f t="shared" si="21"/>
        <v>0</v>
      </c>
      <c r="J41" s="122">
        <f t="shared" si="21"/>
        <v>0</v>
      </c>
      <c r="K41" s="122">
        <f t="shared" si="21"/>
        <v>0</v>
      </c>
      <c r="L41" s="122">
        <f t="shared" si="21"/>
        <v>0</v>
      </c>
      <c r="M41" s="122">
        <f t="shared" si="21"/>
        <v>0</v>
      </c>
      <c r="N41" s="122">
        <f t="shared" si="21"/>
        <v>0</v>
      </c>
      <c r="O41" s="122">
        <f t="shared" si="21"/>
        <v>0</v>
      </c>
      <c r="P41" s="122">
        <f t="shared" si="21"/>
        <v>0</v>
      </c>
      <c r="Q41" s="122">
        <f t="shared" si="21"/>
        <v>0</v>
      </c>
      <c r="R41" s="122">
        <f t="shared" si="21"/>
        <v>0</v>
      </c>
      <c r="S41" s="122">
        <f t="shared" si="21"/>
        <v>0</v>
      </c>
      <c r="T41" s="122">
        <f t="shared" si="21"/>
        <v>0</v>
      </c>
      <c r="U41" s="122">
        <f t="shared" si="21"/>
        <v>0</v>
      </c>
      <c r="V41" s="122">
        <f t="shared" si="21"/>
        <v>0</v>
      </c>
      <c r="W41" s="122">
        <f t="shared" si="21"/>
        <v>0</v>
      </c>
      <c r="X41" s="122">
        <f t="shared" si="21"/>
        <v>0</v>
      </c>
      <c r="Y41" s="122">
        <f t="shared" si="21"/>
        <v>0</v>
      </c>
      <c r="Z41" s="122">
        <f t="shared" si="21"/>
        <v>0</v>
      </c>
      <c r="AA41" s="122">
        <f t="shared" si="21"/>
        <v>0</v>
      </c>
      <c r="AB41" s="122">
        <f t="shared" si="21"/>
        <v>0</v>
      </c>
      <c r="AC41" s="122">
        <f t="shared" si="21"/>
        <v>0</v>
      </c>
      <c r="AD41" s="122">
        <f t="shared" si="21"/>
        <v>0</v>
      </c>
      <c r="AE41" s="122">
        <f t="shared" si="21"/>
        <v>0</v>
      </c>
      <c r="AF41" s="122">
        <f t="shared" si="21"/>
        <v>0</v>
      </c>
      <c r="AG41" s="122">
        <f t="shared" si="21"/>
        <v>0</v>
      </c>
      <c r="AH41" s="122">
        <f t="shared" si="21"/>
        <v>0</v>
      </c>
      <c r="AI41" s="122">
        <f t="shared" si="21"/>
        <v>0</v>
      </c>
      <c r="AJ41" s="122">
        <f t="shared" si="21"/>
        <v>0</v>
      </c>
      <c r="AK41" s="122">
        <f t="shared" si="21"/>
        <v>0</v>
      </c>
      <c r="AL41" s="122">
        <f t="shared" si="21"/>
        <v>0</v>
      </c>
      <c r="AM41" s="122">
        <f t="shared" si="21"/>
        <v>0</v>
      </c>
      <c r="AN41" s="122">
        <f t="shared" si="21"/>
        <v>0</v>
      </c>
      <c r="AO41" s="122">
        <f t="shared" si="21"/>
        <v>0</v>
      </c>
      <c r="AP41" s="122">
        <f t="shared" si="21"/>
        <v>0</v>
      </c>
    </row>
  </sheetData>
  <mergeCells count="12">
    <mergeCell ref="B3:D3"/>
    <mergeCell ref="B4:D4"/>
    <mergeCell ref="B39:E39"/>
    <mergeCell ref="B40:E40"/>
    <mergeCell ref="B41:E41"/>
    <mergeCell ref="F1:K1"/>
    <mergeCell ref="L1:V1"/>
    <mergeCell ref="W1:AG1"/>
    <mergeCell ref="AH1:AM1"/>
    <mergeCell ref="AN1:AO1"/>
    <mergeCell ref="AN3:AO3"/>
    <mergeCell ref="AP3:AP5"/>
  </mergeCells>
  <conditionalFormatting sqref="A8:AP37">
    <cfRule type="expression" dxfId="0" priority="1">
      <formula>iseven(row())</formula>
    </cfRule>
  </conditionalFormatting>
  <dataValidations>
    <dataValidation type="decimal" allowBlank="1" showDropDown="1" showInputMessage="1" showErrorMessage="1" prompt="Introduce un número. entre 0 y 100" sqref="F8:AP37">
      <formula1>0.0</formula1>
      <formula2>100.0</formula2>
    </dataValidation>
  </dataValidation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5.0" ySplit="5.0" topLeftCell="F6" activePane="bottomRight" state="frozen"/>
      <selection activeCell="F1" sqref="F1" pane="topRight"/>
      <selection activeCell="A6" sqref="A6" pane="bottomLeft"/>
      <selection activeCell="F6" sqref="F6" pane="bottomRight"/>
    </sheetView>
  </sheetViews>
  <sheetFormatPr customHeight="1" defaultColWidth="14.43" defaultRowHeight="15.75"/>
  <cols>
    <col customWidth="1" min="1" max="1" width="0.43"/>
    <col customWidth="1" min="2" max="2" width="3.86"/>
    <col customWidth="1" min="3" max="3" width="38.43"/>
    <col customWidth="1" min="4" max="4" width="6.57"/>
    <col customWidth="1" min="5" max="5" width="8.14"/>
    <col customWidth="1" min="6" max="39" width="11.43"/>
    <col customWidth="1" min="40" max="41" width="10.71"/>
    <col customWidth="1" min="42" max="42" width="11.43"/>
  </cols>
  <sheetData>
    <row r="1" ht="28.5" customHeight="1">
      <c r="A1" s="44"/>
      <c r="B1" s="44"/>
      <c r="C1" s="45" t="s">
        <v>44</v>
      </c>
      <c r="D1" s="46"/>
      <c r="E1" s="47"/>
      <c r="F1" s="45" t="s">
        <v>22</v>
      </c>
      <c r="L1" s="45" t="s">
        <v>23</v>
      </c>
      <c r="W1" s="45" t="s">
        <v>24</v>
      </c>
      <c r="AH1" s="45" t="s">
        <v>25</v>
      </c>
      <c r="AN1" s="48" t="s">
        <v>26</v>
      </c>
      <c r="AP1" s="48" t="s">
        <v>27</v>
      </c>
    </row>
    <row r="2" ht="1.5" customHeight="1">
      <c r="A2" s="49"/>
      <c r="B2" s="49"/>
      <c r="C2" s="49"/>
      <c r="D2" s="50"/>
      <c r="E2" s="50"/>
      <c r="F2" s="51">
        <f t="shared" ref="F2:J2" si="1">IF(COUNT(F8:F37)=0,IF(F4="",0,1),IF(F4="",1,0))</f>
        <v>0</v>
      </c>
      <c r="G2" s="51">
        <f t="shared" si="1"/>
        <v>0</v>
      </c>
      <c r="H2" s="51">
        <f t="shared" si="1"/>
        <v>0</v>
      </c>
      <c r="I2" s="51">
        <f t="shared" si="1"/>
        <v>0</v>
      </c>
      <c r="J2" s="51">
        <f t="shared" si="1"/>
        <v>0</v>
      </c>
      <c r="K2" s="51"/>
      <c r="L2" s="51">
        <f t="shared" ref="L2:U2" si="2">IF(COUNT(L8:L37)=0,IF(L4="",0,1),IF(L4="",1,0))</f>
        <v>0</v>
      </c>
      <c r="M2" s="51">
        <f t="shared" si="2"/>
        <v>0</v>
      </c>
      <c r="N2" s="51">
        <f t="shared" si="2"/>
        <v>0</v>
      </c>
      <c r="O2" s="51">
        <f t="shared" si="2"/>
        <v>0</v>
      </c>
      <c r="P2" s="51">
        <f t="shared" si="2"/>
        <v>0</v>
      </c>
      <c r="Q2" s="51">
        <f t="shared" si="2"/>
        <v>0</v>
      </c>
      <c r="R2" s="51">
        <f t="shared" si="2"/>
        <v>0</v>
      </c>
      <c r="S2" s="51">
        <f t="shared" si="2"/>
        <v>0</v>
      </c>
      <c r="T2" s="51">
        <f t="shared" si="2"/>
        <v>0</v>
      </c>
      <c r="U2" s="51">
        <f t="shared" si="2"/>
        <v>0</v>
      </c>
      <c r="V2" s="51"/>
      <c r="W2" s="51">
        <f t="shared" ref="W2:AF2" si="3">IF(COUNT(W8:W37)=0,IF(W4="",0,1),IF(W4="",1,0))</f>
        <v>0</v>
      </c>
      <c r="X2" s="51">
        <f t="shared" si="3"/>
        <v>0</v>
      </c>
      <c r="Y2" s="51">
        <f t="shared" si="3"/>
        <v>0</v>
      </c>
      <c r="Z2" s="51">
        <f t="shared" si="3"/>
        <v>0</v>
      </c>
      <c r="AA2" s="51">
        <f t="shared" si="3"/>
        <v>0</v>
      </c>
      <c r="AB2" s="51">
        <f t="shared" si="3"/>
        <v>0</v>
      </c>
      <c r="AC2" s="51">
        <f t="shared" si="3"/>
        <v>0</v>
      </c>
      <c r="AD2" s="51">
        <f t="shared" si="3"/>
        <v>0</v>
      </c>
      <c r="AE2" s="51">
        <f t="shared" si="3"/>
        <v>0</v>
      </c>
      <c r="AF2" s="51">
        <f t="shared" si="3"/>
        <v>0</v>
      </c>
      <c r="AG2" s="51"/>
      <c r="AH2" s="51">
        <f t="shared" ref="AH2:AL2" si="4">IF(COUNT(AH8:AH37)=0,IF(AH4="",0,1),IF(AH4="",1,0))</f>
        <v>0</v>
      </c>
      <c r="AI2" s="51">
        <f t="shared" si="4"/>
        <v>0</v>
      </c>
      <c r="AJ2" s="51">
        <f t="shared" si="4"/>
        <v>0</v>
      </c>
      <c r="AK2" s="51">
        <f t="shared" si="4"/>
        <v>0</v>
      </c>
      <c r="AL2" s="51">
        <f t="shared" si="4"/>
        <v>0</v>
      </c>
      <c r="AM2" s="51"/>
      <c r="AN2" s="51"/>
      <c r="AO2" s="51"/>
      <c r="AP2" s="51"/>
    </row>
    <row r="3" ht="15.75" customHeight="1">
      <c r="A3" s="49"/>
      <c r="B3" s="52" t="str">
        <f>General!B1</f>
        <v/>
      </c>
      <c r="E3" s="53" t="s">
        <v>28</v>
      </c>
      <c r="F3" s="55"/>
      <c r="G3" s="54"/>
      <c r="H3" s="55"/>
      <c r="I3" s="54"/>
      <c r="J3" s="55"/>
      <c r="K3" s="56"/>
      <c r="L3" s="55"/>
      <c r="M3" s="54"/>
      <c r="N3" s="55"/>
      <c r="O3" s="54"/>
      <c r="P3" s="55"/>
      <c r="Q3" s="54"/>
      <c r="R3" s="54"/>
      <c r="S3" s="55"/>
      <c r="T3" s="54"/>
      <c r="U3" s="55"/>
      <c r="V3" s="56"/>
      <c r="W3" s="55"/>
      <c r="X3" s="54"/>
      <c r="Y3" s="55"/>
      <c r="Z3" s="54"/>
      <c r="AA3" s="55"/>
      <c r="AB3" s="55"/>
      <c r="AC3" s="54"/>
      <c r="AD3" s="55"/>
      <c r="AE3" s="54"/>
      <c r="AF3" s="55"/>
      <c r="AG3" s="56"/>
      <c r="AH3" s="55"/>
      <c r="AI3" s="54"/>
      <c r="AJ3" s="55"/>
      <c r="AK3" s="54"/>
      <c r="AL3" s="55"/>
      <c r="AM3" s="58"/>
      <c r="AN3" s="56"/>
      <c r="AP3" s="59" t="s">
        <v>45</v>
      </c>
    </row>
    <row r="4" ht="89.25" customHeight="1">
      <c r="A4" s="49"/>
      <c r="B4" s="60" t="str">
        <f>General!B2</f>
        <v/>
      </c>
      <c r="E4" s="61" t="s">
        <v>30</v>
      </c>
      <c r="F4" s="62"/>
      <c r="G4" s="63"/>
      <c r="H4" s="62"/>
      <c r="I4" s="63"/>
      <c r="J4" s="62"/>
      <c r="K4" s="56" t="s">
        <v>31</v>
      </c>
      <c r="L4" s="62"/>
      <c r="M4" s="63"/>
      <c r="N4" s="62"/>
      <c r="O4" s="63"/>
      <c r="P4" s="62"/>
      <c r="Q4" s="63"/>
      <c r="R4" s="63"/>
      <c r="S4" s="62"/>
      <c r="T4" s="63"/>
      <c r="U4" s="62"/>
      <c r="V4" s="56" t="s">
        <v>32</v>
      </c>
      <c r="W4" s="62"/>
      <c r="X4" s="63"/>
      <c r="Y4" s="62"/>
      <c r="Z4" s="63"/>
      <c r="AA4" s="62"/>
      <c r="AB4" s="62"/>
      <c r="AC4" s="63"/>
      <c r="AD4" s="62"/>
      <c r="AE4" s="63"/>
      <c r="AF4" s="62"/>
      <c r="AG4" s="56" t="s">
        <v>33</v>
      </c>
      <c r="AH4" s="62"/>
      <c r="AI4" s="63"/>
      <c r="AJ4" s="62"/>
      <c r="AK4" s="63"/>
      <c r="AL4" s="62"/>
      <c r="AM4" s="56" t="s">
        <v>34</v>
      </c>
      <c r="AN4" s="65" t="s">
        <v>35</v>
      </c>
      <c r="AO4" s="66" t="s">
        <v>36</v>
      </c>
    </row>
    <row r="5" ht="1.5" customHeight="1">
      <c r="A5" s="67"/>
      <c r="B5" s="68"/>
      <c r="C5" s="69"/>
      <c r="D5" s="70"/>
      <c r="E5" s="68"/>
      <c r="F5" s="71">
        <f t="shared" ref="F5:J5" si="5">IF(COUNT(F8:F37)=0,IF(F3="",0,1),IF(F3="",1,0))</f>
        <v>0</v>
      </c>
      <c r="G5" s="72">
        <f t="shared" si="5"/>
        <v>0</v>
      </c>
      <c r="H5" s="71">
        <f t="shared" si="5"/>
        <v>0</v>
      </c>
      <c r="I5" s="72">
        <f t="shared" si="5"/>
        <v>0</v>
      </c>
      <c r="J5" s="71">
        <f t="shared" si="5"/>
        <v>0</v>
      </c>
      <c r="K5" s="73"/>
      <c r="L5" s="71">
        <f t="shared" ref="L5:U5" si="6">IF(COUNT(L8:L37)=0,IF(L3="",0,1),IF(L3="",1,0))</f>
        <v>0</v>
      </c>
      <c r="M5" s="71">
        <f t="shared" si="6"/>
        <v>0</v>
      </c>
      <c r="N5" s="71">
        <f t="shared" si="6"/>
        <v>0</v>
      </c>
      <c r="O5" s="71">
        <f t="shared" si="6"/>
        <v>0</v>
      </c>
      <c r="P5" s="74">
        <f t="shared" si="6"/>
        <v>0</v>
      </c>
      <c r="Q5" s="74">
        <f t="shared" si="6"/>
        <v>0</v>
      </c>
      <c r="R5" s="74">
        <f t="shared" si="6"/>
        <v>0</v>
      </c>
      <c r="S5" s="71">
        <f t="shared" si="6"/>
        <v>0</v>
      </c>
      <c r="T5" s="71">
        <f t="shared" si="6"/>
        <v>0</v>
      </c>
      <c r="U5" s="71">
        <f t="shared" si="6"/>
        <v>0</v>
      </c>
      <c r="V5" s="73"/>
      <c r="W5" s="71">
        <f t="shared" ref="W5:AF5" si="7">IF(COUNT(W8:W37)=0,IF(W3="",0,1),IF(W3="",1,0))</f>
        <v>0</v>
      </c>
      <c r="X5" s="71">
        <f t="shared" si="7"/>
        <v>0</v>
      </c>
      <c r="Y5" s="71">
        <f t="shared" si="7"/>
        <v>0</v>
      </c>
      <c r="Z5" s="71">
        <f t="shared" si="7"/>
        <v>0</v>
      </c>
      <c r="AA5" s="71">
        <f t="shared" si="7"/>
        <v>0</v>
      </c>
      <c r="AB5" s="71">
        <f t="shared" si="7"/>
        <v>0</v>
      </c>
      <c r="AC5" s="71">
        <f t="shared" si="7"/>
        <v>0</v>
      </c>
      <c r="AD5" s="71">
        <f t="shared" si="7"/>
        <v>0</v>
      </c>
      <c r="AE5" s="71">
        <f t="shared" si="7"/>
        <v>0</v>
      </c>
      <c r="AF5" s="71">
        <f t="shared" si="7"/>
        <v>0</v>
      </c>
      <c r="AG5" s="73"/>
      <c r="AH5" s="71">
        <f t="shared" ref="AH5:AL5" si="8">IF(COUNT(AH8:AH37)=0,IF(AH3="",0,1),IF(AH3="",1,0))</f>
        <v>0</v>
      </c>
      <c r="AI5" s="71">
        <f t="shared" si="8"/>
        <v>0</v>
      </c>
      <c r="AJ5" s="71">
        <f t="shared" si="8"/>
        <v>0</v>
      </c>
      <c r="AK5" s="71">
        <f t="shared" si="8"/>
        <v>0</v>
      </c>
      <c r="AL5" s="71">
        <f t="shared" si="8"/>
        <v>0</v>
      </c>
      <c r="AM5" s="73"/>
      <c r="AN5" s="75">
        <v>5.0</v>
      </c>
      <c r="AO5" s="76">
        <v>5.0</v>
      </c>
    </row>
    <row r="6" ht="18.0" hidden="1" customHeight="1">
      <c r="A6" s="77"/>
      <c r="B6" s="77"/>
      <c r="C6" s="78"/>
      <c r="D6" s="79" t="s">
        <v>37</v>
      </c>
      <c r="E6" s="80">
        <f>if(sumifs(F5:AG5,F7:AG7,"&gt;=0")=0,1,sumifs(F5:AG5,F7:AG7,"&gt;=0"))</f>
        <v>1</v>
      </c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  <c r="AC6" s="81"/>
      <c r="AD6" s="81"/>
      <c r="AE6" s="81"/>
      <c r="AF6" s="81"/>
      <c r="AG6" s="81"/>
      <c r="AH6" s="81"/>
      <c r="AI6" s="81"/>
      <c r="AJ6" s="81"/>
      <c r="AK6" s="81"/>
      <c r="AL6" s="81"/>
      <c r="AM6" s="81"/>
      <c r="AN6" s="81"/>
      <c r="AO6" s="81"/>
      <c r="AP6" s="81"/>
    </row>
    <row r="7" ht="22.5" customHeight="1">
      <c r="A7" s="82"/>
      <c r="B7" s="82"/>
      <c r="C7" s="83" t="s">
        <v>38</v>
      </c>
      <c r="D7" s="84" t="str">
        <f t="array" ref="D7">iferror(index(Grades, match($E7*100,GradeRange,-1), 1),0)</f>
        <v/>
      </c>
      <c r="E7" s="85">
        <f>IFERROR(AP7/100,0)</f>
        <v>0</v>
      </c>
      <c r="F7" s="88" t="str">
        <f t="shared" ref="F7:AP7" si="9">iferror(average(F8:F37))</f>
        <v/>
      </c>
      <c r="G7" s="88" t="str">
        <f t="shared" si="9"/>
        <v/>
      </c>
      <c r="H7" s="88" t="str">
        <f t="shared" si="9"/>
        <v/>
      </c>
      <c r="I7" s="88" t="str">
        <f t="shared" si="9"/>
        <v/>
      </c>
      <c r="J7" s="88" t="str">
        <f t="shared" si="9"/>
        <v/>
      </c>
      <c r="K7" s="88" t="str">
        <f t="shared" si="9"/>
        <v/>
      </c>
      <c r="L7" s="88" t="str">
        <f t="shared" si="9"/>
        <v/>
      </c>
      <c r="M7" s="88" t="str">
        <f t="shared" si="9"/>
        <v/>
      </c>
      <c r="N7" s="88" t="str">
        <f t="shared" si="9"/>
        <v/>
      </c>
      <c r="O7" s="88" t="str">
        <f t="shared" si="9"/>
        <v/>
      </c>
      <c r="P7" s="88" t="str">
        <f t="shared" si="9"/>
        <v/>
      </c>
      <c r="Q7" s="88" t="str">
        <f t="shared" si="9"/>
        <v/>
      </c>
      <c r="R7" s="88" t="str">
        <f t="shared" si="9"/>
        <v/>
      </c>
      <c r="S7" s="88" t="str">
        <f t="shared" si="9"/>
        <v/>
      </c>
      <c r="T7" s="88" t="str">
        <f t="shared" si="9"/>
        <v/>
      </c>
      <c r="U7" s="126" t="str">
        <f t="shared" si="9"/>
        <v/>
      </c>
      <c r="V7" s="88" t="str">
        <f t="shared" si="9"/>
        <v/>
      </c>
      <c r="W7" s="88" t="str">
        <f t="shared" si="9"/>
        <v/>
      </c>
      <c r="X7" s="88" t="str">
        <f t="shared" si="9"/>
        <v/>
      </c>
      <c r="Y7" s="88" t="str">
        <f t="shared" si="9"/>
        <v/>
      </c>
      <c r="Z7" s="88" t="str">
        <f t="shared" si="9"/>
        <v/>
      </c>
      <c r="AA7" s="88" t="str">
        <f t="shared" si="9"/>
        <v/>
      </c>
      <c r="AB7" s="88" t="str">
        <f t="shared" si="9"/>
        <v/>
      </c>
      <c r="AC7" s="88" t="str">
        <f t="shared" si="9"/>
        <v/>
      </c>
      <c r="AD7" s="88" t="str">
        <f t="shared" si="9"/>
        <v/>
      </c>
      <c r="AE7" s="88" t="str">
        <f t="shared" si="9"/>
        <v/>
      </c>
      <c r="AF7" s="88" t="str">
        <f t="shared" si="9"/>
        <v/>
      </c>
      <c r="AG7" s="88" t="str">
        <f t="shared" si="9"/>
        <v/>
      </c>
      <c r="AH7" s="88" t="str">
        <f t="shared" si="9"/>
        <v/>
      </c>
      <c r="AI7" s="88" t="str">
        <f t="shared" si="9"/>
        <v/>
      </c>
      <c r="AJ7" s="88" t="str">
        <f t="shared" si="9"/>
        <v/>
      </c>
      <c r="AK7" s="88" t="str">
        <f t="shared" si="9"/>
        <v/>
      </c>
      <c r="AL7" s="88" t="str">
        <f t="shared" si="9"/>
        <v/>
      </c>
      <c r="AM7" s="88" t="str">
        <f t="shared" si="9"/>
        <v/>
      </c>
      <c r="AN7" s="88" t="str">
        <f t="shared" si="9"/>
        <v/>
      </c>
      <c r="AO7" s="88" t="str">
        <f t="shared" si="9"/>
        <v/>
      </c>
      <c r="AP7" s="88" t="str">
        <f t="shared" si="9"/>
        <v/>
      </c>
    </row>
    <row r="8" ht="19.5" customHeight="1">
      <c r="A8" s="89" t="str">
        <f>'1erTRIM'!A8</f>
        <v/>
      </c>
      <c r="B8" s="90" t="str">
        <f>'1erTRIM'!B8</f>
        <v/>
      </c>
      <c r="C8" s="110" t="str">
        <f>'1erTRIM'!C8</f>
        <v/>
      </c>
      <c r="D8" s="92" t="str">
        <f t="array" ref="D8">IFERROR(index(Grades, match($E8*100,GradeRange,-1), 1))</f>
        <v/>
      </c>
      <c r="E8" s="93">
        <f t="shared" ref="E8:E37" si="10">IFERROR((SUM(K8,V8,AG8,AM8,AN8,AO8))/100)</f>
        <v>0</v>
      </c>
      <c r="F8" s="94"/>
      <c r="G8" s="95"/>
      <c r="H8" s="94"/>
      <c r="I8" s="95"/>
      <c r="J8" s="94"/>
      <c r="K8" s="96" t="str">
        <f t="shared" ref="K8:K37" si="11">IFERROR(ROUND(ROUND(AVERAGE(F8:J8),0)*0.1,0),"")</f>
        <v/>
      </c>
      <c r="L8" s="94"/>
      <c r="M8" s="95"/>
      <c r="N8" s="94"/>
      <c r="O8" s="95"/>
      <c r="P8" s="94"/>
      <c r="Q8" s="95"/>
      <c r="R8" s="95"/>
      <c r="S8" s="94"/>
      <c r="T8" s="95"/>
      <c r="U8" s="95"/>
      <c r="V8" s="97" t="str">
        <f t="shared" ref="V8:V37" si="12">IFERROR(ROUND(ROUND(AVERAGE(L8:U8),0)*0.35,0),"")</f>
        <v/>
      </c>
      <c r="W8" s="94"/>
      <c r="X8" s="95"/>
      <c r="Y8" s="94"/>
      <c r="Z8" s="95"/>
      <c r="AA8" s="94"/>
      <c r="AB8" s="95"/>
      <c r="AC8" s="95"/>
      <c r="AD8" s="94"/>
      <c r="AE8" s="95"/>
      <c r="AF8" s="95"/>
      <c r="AG8" s="97" t="str">
        <f t="shared" ref="AG8:AG37" si="13">IFERROR(ROUND(ROUND(AVERAGE(W8:AF8),0)*0.35,0),"")</f>
        <v/>
      </c>
      <c r="AH8" s="94"/>
      <c r="AI8" s="95"/>
      <c r="AJ8" s="94"/>
      <c r="AK8" s="95"/>
      <c r="AL8" s="94"/>
      <c r="AM8" s="97" t="str">
        <f t="shared" ref="AM8:AM37" si="14">IFERROR(ROUND(ROUND(AVERAGE(AH8:AL8),0)*0.1,0),"")</f>
        <v/>
      </c>
      <c r="AN8" s="98"/>
      <c r="AO8" s="99"/>
      <c r="AP8" s="97" t="str">
        <f t="shared" ref="AP8:AP37" si="15">IF(SUM(K8,V8,AG8,AM8,AN8,AO8)=0,"",SUM(K8,V8,AG8,AM8,AN8,AO8))</f>
        <v/>
      </c>
    </row>
    <row r="9" ht="19.5" customHeight="1">
      <c r="A9" s="89" t="str">
        <f>'1erTRIM'!A9</f>
        <v/>
      </c>
      <c r="B9" s="90" t="str">
        <f>'1erTRIM'!B9</f>
        <v/>
      </c>
      <c r="C9" s="110" t="str">
        <f>'1erTRIM'!C9</f>
        <v/>
      </c>
      <c r="D9" s="92" t="str">
        <f t="array" ref="D9">IFERROR(index(Grades, match($E9*100,GradeRange,-1), 1))</f>
        <v/>
      </c>
      <c r="E9" s="93">
        <f t="shared" si="10"/>
        <v>0</v>
      </c>
      <c r="F9" s="94"/>
      <c r="G9" s="101"/>
      <c r="H9" s="94"/>
      <c r="I9" s="101"/>
      <c r="J9" s="94"/>
      <c r="K9" s="102" t="str">
        <f t="shared" si="11"/>
        <v/>
      </c>
      <c r="L9" s="94"/>
      <c r="M9" s="101"/>
      <c r="N9" s="94"/>
      <c r="O9" s="101"/>
      <c r="P9" s="94"/>
      <c r="Q9" s="101"/>
      <c r="R9" s="101"/>
      <c r="S9" s="94"/>
      <c r="T9" s="101"/>
      <c r="U9" s="101"/>
      <c r="V9" s="103" t="str">
        <f t="shared" si="12"/>
        <v/>
      </c>
      <c r="W9" s="94"/>
      <c r="X9" s="101"/>
      <c r="Y9" s="94"/>
      <c r="Z9" s="101"/>
      <c r="AA9" s="94"/>
      <c r="AB9" s="101"/>
      <c r="AC9" s="101"/>
      <c r="AD9" s="94"/>
      <c r="AE9" s="101"/>
      <c r="AF9" s="101"/>
      <c r="AG9" s="103" t="str">
        <f t="shared" si="13"/>
        <v/>
      </c>
      <c r="AH9" s="94"/>
      <c r="AI9" s="101"/>
      <c r="AJ9" s="94"/>
      <c r="AK9" s="101"/>
      <c r="AL9" s="94"/>
      <c r="AM9" s="103" t="str">
        <f t="shared" si="14"/>
        <v/>
      </c>
      <c r="AN9" s="104"/>
      <c r="AO9" s="105"/>
      <c r="AP9" s="103" t="str">
        <f t="shared" si="15"/>
        <v/>
      </c>
    </row>
    <row r="10" ht="19.5" customHeight="1">
      <c r="A10" s="89" t="str">
        <f>'1erTRIM'!A10</f>
        <v/>
      </c>
      <c r="B10" s="90" t="str">
        <f>'1erTRIM'!B10</f>
        <v/>
      </c>
      <c r="C10" s="110" t="str">
        <f>'1erTRIM'!C10</f>
        <v/>
      </c>
      <c r="D10" s="92" t="str">
        <f t="array" ref="D10">IFERROR(index(Grades, match($E10*100,GradeRange,-1), 1))</f>
        <v/>
      </c>
      <c r="E10" s="93">
        <f t="shared" si="10"/>
        <v>0</v>
      </c>
      <c r="F10" s="94"/>
      <c r="G10" s="101"/>
      <c r="H10" s="94"/>
      <c r="I10" s="101"/>
      <c r="J10" s="94"/>
      <c r="K10" s="102" t="str">
        <f t="shared" si="11"/>
        <v/>
      </c>
      <c r="L10" s="94"/>
      <c r="M10" s="101"/>
      <c r="N10" s="94"/>
      <c r="O10" s="101"/>
      <c r="P10" s="94"/>
      <c r="Q10" s="101"/>
      <c r="R10" s="101"/>
      <c r="S10" s="94"/>
      <c r="T10" s="101"/>
      <c r="U10" s="101"/>
      <c r="V10" s="103" t="str">
        <f t="shared" si="12"/>
        <v/>
      </c>
      <c r="W10" s="94"/>
      <c r="X10" s="101"/>
      <c r="Y10" s="94"/>
      <c r="Z10" s="101"/>
      <c r="AA10" s="94"/>
      <c r="AB10" s="101"/>
      <c r="AC10" s="101"/>
      <c r="AD10" s="94"/>
      <c r="AE10" s="101"/>
      <c r="AF10" s="101"/>
      <c r="AG10" s="103" t="str">
        <f t="shared" si="13"/>
        <v/>
      </c>
      <c r="AH10" s="94"/>
      <c r="AI10" s="101"/>
      <c r="AJ10" s="94"/>
      <c r="AK10" s="101"/>
      <c r="AL10" s="94"/>
      <c r="AM10" s="103" t="str">
        <f t="shared" si="14"/>
        <v/>
      </c>
      <c r="AN10" s="104"/>
      <c r="AO10" s="105"/>
      <c r="AP10" s="103" t="str">
        <f t="shared" si="15"/>
        <v/>
      </c>
    </row>
    <row r="11" ht="19.5" customHeight="1">
      <c r="A11" s="89" t="str">
        <f>'1erTRIM'!A11</f>
        <v/>
      </c>
      <c r="B11" s="90" t="str">
        <f>'1erTRIM'!B11</f>
        <v/>
      </c>
      <c r="C11" s="110" t="str">
        <f>'1erTRIM'!C11</f>
        <v/>
      </c>
      <c r="D11" s="92" t="str">
        <f t="array" ref="D11">IFERROR(index(Grades, match($E11*100,GradeRange,-1), 1))</f>
        <v/>
      </c>
      <c r="E11" s="93">
        <f t="shared" si="10"/>
        <v>0</v>
      </c>
      <c r="F11" s="94"/>
      <c r="G11" s="101"/>
      <c r="H11" s="94"/>
      <c r="I11" s="101"/>
      <c r="J11" s="94"/>
      <c r="K11" s="102" t="str">
        <f t="shared" si="11"/>
        <v/>
      </c>
      <c r="L11" s="94"/>
      <c r="M11" s="101"/>
      <c r="N11" s="94"/>
      <c r="O11" s="101"/>
      <c r="P11" s="94"/>
      <c r="Q11" s="101"/>
      <c r="R11" s="101"/>
      <c r="S11" s="94"/>
      <c r="T11" s="101"/>
      <c r="U11" s="101"/>
      <c r="V11" s="103" t="str">
        <f t="shared" si="12"/>
        <v/>
      </c>
      <c r="W11" s="94"/>
      <c r="X11" s="101"/>
      <c r="Y11" s="94"/>
      <c r="Z11" s="101"/>
      <c r="AA11" s="94"/>
      <c r="AB11" s="101"/>
      <c r="AC11" s="101"/>
      <c r="AD11" s="94"/>
      <c r="AE11" s="101"/>
      <c r="AF11" s="101"/>
      <c r="AG11" s="103" t="str">
        <f t="shared" si="13"/>
        <v/>
      </c>
      <c r="AH11" s="94"/>
      <c r="AI11" s="101"/>
      <c r="AJ11" s="94"/>
      <c r="AK11" s="101"/>
      <c r="AL11" s="94"/>
      <c r="AM11" s="103" t="str">
        <f t="shared" si="14"/>
        <v/>
      </c>
      <c r="AN11" s="104"/>
      <c r="AO11" s="105"/>
      <c r="AP11" s="103" t="str">
        <f t="shared" si="15"/>
        <v/>
      </c>
    </row>
    <row r="12" ht="19.5" customHeight="1">
      <c r="A12" s="89" t="str">
        <f>'1erTRIM'!A12</f>
        <v/>
      </c>
      <c r="B12" s="90" t="str">
        <f>'1erTRIM'!B12</f>
        <v/>
      </c>
      <c r="C12" s="110" t="str">
        <f>'1erTRIM'!C12</f>
        <v/>
      </c>
      <c r="D12" s="92" t="str">
        <f t="array" ref="D12">IFERROR(index(Grades, match($E12*100,GradeRange,-1), 1))</f>
        <v/>
      </c>
      <c r="E12" s="93">
        <f t="shared" si="10"/>
        <v>0</v>
      </c>
      <c r="F12" s="94"/>
      <c r="G12" s="101"/>
      <c r="H12" s="94"/>
      <c r="I12" s="101"/>
      <c r="J12" s="94"/>
      <c r="K12" s="102" t="str">
        <f t="shared" si="11"/>
        <v/>
      </c>
      <c r="L12" s="94"/>
      <c r="M12" s="101"/>
      <c r="N12" s="94"/>
      <c r="O12" s="101"/>
      <c r="P12" s="94"/>
      <c r="Q12" s="101"/>
      <c r="R12" s="101"/>
      <c r="S12" s="94"/>
      <c r="T12" s="101"/>
      <c r="U12" s="101"/>
      <c r="V12" s="103" t="str">
        <f t="shared" si="12"/>
        <v/>
      </c>
      <c r="W12" s="94"/>
      <c r="X12" s="101"/>
      <c r="Y12" s="94"/>
      <c r="Z12" s="101"/>
      <c r="AA12" s="94"/>
      <c r="AB12" s="101"/>
      <c r="AC12" s="101"/>
      <c r="AD12" s="94"/>
      <c r="AE12" s="101"/>
      <c r="AF12" s="101"/>
      <c r="AG12" s="103" t="str">
        <f t="shared" si="13"/>
        <v/>
      </c>
      <c r="AH12" s="94"/>
      <c r="AI12" s="101"/>
      <c r="AJ12" s="94"/>
      <c r="AK12" s="101"/>
      <c r="AL12" s="94"/>
      <c r="AM12" s="103" t="str">
        <f t="shared" si="14"/>
        <v/>
      </c>
      <c r="AN12" s="104"/>
      <c r="AO12" s="105"/>
      <c r="AP12" s="103" t="str">
        <f t="shared" si="15"/>
        <v/>
      </c>
    </row>
    <row r="13" ht="19.5" customHeight="1">
      <c r="A13" s="89" t="str">
        <f>'1erTRIM'!A13</f>
        <v/>
      </c>
      <c r="B13" s="90" t="str">
        <f>'1erTRIM'!B13</f>
        <v/>
      </c>
      <c r="C13" s="110" t="str">
        <f>'1erTRIM'!C13</f>
        <v/>
      </c>
      <c r="D13" s="92" t="str">
        <f t="array" ref="D13">IFERROR(index(Grades, match($E13*100,GradeRange,-1), 1))</f>
        <v/>
      </c>
      <c r="E13" s="93">
        <f t="shared" si="10"/>
        <v>0</v>
      </c>
      <c r="F13" s="94"/>
      <c r="G13" s="101"/>
      <c r="H13" s="94"/>
      <c r="I13" s="101"/>
      <c r="J13" s="94"/>
      <c r="K13" s="102" t="str">
        <f t="shared" si="11"/>
        <v/>
      </c>
      <c r="L13" s="94"/>
      <c r="M13" s="101"/>
      <c r="N13" s="94"/>
      <c r="O13" s="101"/>
      <c r="P13" s="94"/>
      <c r="Q13" s="101"/>
      <c r="R13" s="101"/>
      <c r="S13" s="94"/>
      <c r="T13" s="101"/>
      <c r="U13" s="101"/>
      <c r="V13" s="103" t="str">
        <f t="shared" si="12"/>
        <v/>
      </c>
      <c r="W13" s="94"/>
      <c r="X13" s="101"/>
      <c r="Y13" s="94"/>
      <c r="Z13" s="101"/>
      <c r="AA13" s="94"/>
      <c r="AB13" s="101"/>
      <c r="AC13" s="101"/>
      <c r="AD13" s="94"/>
      <c r="AE13" s="101"/>
      <c r="AF13" s="101"/>
      <c r="AG13" s="103" t="str">
        <f t="shared" si="13"/>
        <v/>
      </c>
      <c r="AH13" s="94"/>
      <c r="AI13" s="101"/>
      <c r="AJ13" s="94"/>
      <c r="AK13" s="101"/>
      <c r="AL13" s="94"/>
      <c r="AM13" s="103" t="str">
        <f t="shared" si="14"/>
        <v/>
      </c>
      <c r="AN13" s="104"/>
      <c r="AO13" s="105"/>
      <c r="AP13" s="103" t="str">
        <f t="shared" si="15"/>
        <v/>
      </c>
    </row>
    <row r="14" ht="19.5" customHeight="1">
      <c r="A14" s="89" t="str">
        <f>'1erTRIM'!A14</f>
        <v/>
      </c>
      <c r="B14" s="90" t="str">
        <f>'1erTRIM'!B14</f>
        <v/>
      </c>
      <c r="C14" s="110" t="str">
        <f>'1erTRIM'!C14</f>
        <v/>
      </c>
      <c r="D14" s="92" t="str">
        <f t="array" ref="D14">IFERROR(index(Grades, match($E14*100,GradeRange,-1), 1))</f>
        <v/>
      </c>
      <c r="E14" s="93">
        <f t="shared" si="10"/>
        <v>0</v>
      </c>
      <c r="F14" s="94"/>
      <c r="G14" s="101"/>
      <c r="H14" s="94"/>
      <c r="I14" s="101"/>
      <c r="J14" s="94"/>
      <c r="K14" s="102" t="str">
        <f t="shared" si="11"/>
        <v/>
      </c>
      <c r="L14" s="94"/>
      <c r="M14" s="101"/>
      <c r="N14" s="94"/>
      <c r="O14" s="101"/>
      <c r="P14" s="94"/>
      <c r="Q14" s="101"/>
      <c r="R14" s="101"/>
      <c r="S14" s="94"/>
      <c r="T14" s="101"/>
      <c r="U14" s="101"/>
      <c r="V14" s="103" t="str">
        <f t="shared" si="12"/>
        <v/>
      </c>
      <c r="W14" s="94"/>
      <c r="X14" s="101"/>
      <c r="Y14" s="94"/>
      <c r="Z14" s="101"/>
      <c r="AA14" s="94"/>
      <c r="AB14" s="101"/>
      <c r="AC14" s="101"/>
      <c r="AD14" s="94"/>
      <c r="AE14" s="101"/>
      <c r="AF14" s="101"/>
      <c r="AG14" s="103" t="str">
        <f t="shared" si="13"/>
        <v/>
      </c>
      <c r="AH14" s="94"/>
      <c r="AI14" s="101"/>
      <c r="AJ14" s="94"/>
      <c r="AK14" s="101"/>
      <c r="AL14" s="94"/>
      <c r="AM14" s="103" t="str">
        <f t="shared" si="14"/>
        <v/>
      </c>
      <c r="AN14" s="104"/>
      <c r="AO14" s="105"/>
      <c r="AP14" s="103" t="str">
        <f t="shared" si="15"/>
        <v/>
      </c>
    </row>
    <row r="15" ht="19.5" customHeight="1">
      <c r="A15" s="89" t="str">
        <f>'1erTRIM'!A15</f>
        <v/>
      </c>
      <c r="B15" s="90" t="str">
        <f>'1erTRIM'!B15</f>
        <v/>
      </c>
      <c r="C15" s="110" t="str">
        <f>'1erTRIM'!C15</f>
        <v/>
      </c>
      <c r="D15" s="92" t="str">
        <f t="array" ref="D15">IFERROR(index(Grades, match($E15*100,GradeRange,-1), 1))</f>
        <v/>
      </c>
      <c r="E15" s="93">
        <f t="shared" si="10"/>
        <v>0</v>
      </c>
      <c r="F15" s="94"/>
      <c r="G15" s="101"/>
      <c r="H15" s="94"/>
      <c r="I15" s="101"/>
      <c r="J15" s="94"/>
      <c r="K15" s="102" t="str">
        <f t="shared" si="11"/>
        <v/>
      </c>
      <c r="L15" s="94"/>
      <c r="M15" s="101"/>
      <c r="N15" s="94"/>
      <c r="O15" s="101"/>
      <c r="P15" s="94"/>
      <c r="Q15" s="101"/>
      <c r="R15" s="101"/>
      <c r="S15" s="94"/>
      <c r="T15" s="101"/>
      <c r="U15" s="101"/>
      <c r="V15" s="103" t="str">
        <f t="shared" si="12"/>
        <v/>
      </c>
      <c r="W15" s="94"/>
      <c r="X15" s="101"/>
      <c r="Y15" s="94"/>
      <c r="Z15" s="101"/>
      <c r="AA15" s="94"/>
      <c r="AB15" s="101"/>
      <c r="AC15" s="101"/>
      <c r="AD15" s="94"/>
      <c r="AE15" s="101"/>
      <c r="AF15" s="101"/>
      <c r="AG15" s="103" t="str">
        <f t="shared" si="13"/>
        <v/>
      </c>
      <c r="AH15" s="94"/>
      <c r="AI15" s="101"/>
      <c r="AJ15" s="94"/>
      <c r="AK15" s="101"/>
      <c r="AL15" s="94"/>
      <c r="AM15" s="103" t="str">
        <f t="shared" si="14"/>
        <v/>
      </c>
      <c r="AN15" s="104"/>
      <c r="AO15" s="105"/>
      <c r="AP15" s="103" t="str">
        <f t="shared" si="15"/>
        <v/>
      </c>
    </row>
    <row r="16" ht="19.5" customHeight="1">
      <c r="A16" s="89" t="str">
        <f>'1erTRIM'!A16</f>
        <v/>
      </c>
      <c r="B16" s="90" t="str">
        <f>'1erTRIM'!B16</f>
        <v/>
      </c>
      <c r="C16" s="110" t="str">
        <f>'1erTRIM'!C16</f>
        <v/>
      </c>
      <c r="D16" s="92" t="str">
        <f t="array" ref="D16">IFERROR(index(Grades, match($E16*100,GradeRange,-1), 1))</f>
        <v/>
      </c>
      <c r="E16" s="93">
        <f t="shared" si="10"/>
        <v>0</v>
      </c>
      <c r="F16" s="94"/>
      <c r="G16" s="101"/>
      <c r="H16" s="94"/>
      <c r="I16" s="101"/>
      <c r="J16" s="94"/>
      <c r="K16" s="102" t="str">
        <f t="shared" si="11"/>
        <v/>
      </c>
      <c r="L16" s="94"/>
      <c r="M16" s="101"/>
      <c r="N16" s="94"/>
      <c r="O16" s="101"/>
      <c r="P16" s="94"/>
      <c r="Q16" s="101"/>
      <c r="R16" s="101"/>
      <c r="S16" s="94"/>
      <c r="T16" s="101"/>
      <c r="U16" s="101"/>
      <c r="V16" s="103" t="str">
        <f t="shared" si="12"/>
        <v/>
      </c>
      <c r="W16" s="94"/>
      <c r="X16" s="101"/>
      <c r="Y16" s="94"/>
      <c r="Z16" s="101"/>
      <c r="AA16" s="94"/>
      <c r="AB16" s="101"/>
      <c r="AC16" s="101"/>
      <c r="AD16" s="94"/>
      <c r="AE16" s="101"/>
      <c r="AF16" s="101"/>
      <c r="AG16" s="103" t="str">
        <f t="shared" si="13"/>
        <v/>
      </c>
      <c r="AH16" s="94"/>
      <c r="AI16" s="101"/>
      <c r="AJ16" s="94"/>
      <c r="AK16" s="101"/>
      <c r="AL16" s="94"/>
      <c r="AM16" s="103" t="str">
        <f t="shared" si="14"/>
        <v/>
      </c>
      <c r="AN16" s="104"/>
      <c r="AO16" s="105"/>
      <c r="AP16" s="103" t="str">
        <f t="shared" si="15"/>
        <v/>
      </c>
    </row>
    <row r="17" ht="19.5" customHeight="1">
      <c r="A17" s="89" t="str">
        <f>'1erTRIM'!A17</f>
        <v/>
      </c>
      <c r="B17" s="90" t="str">
        <f>'1erTRIM'!B17</f>
        <v/>
      </c>
      <c r="C17" s="110" t="str">
        <f>'1erTRIM'!C17</f>
        <v/>
      </c>
      <c r="D17" s="92" t="str">
        <f t="array" ref="D17">IFERROR(index(Grades, match($E17*100,GradeRange,-1), 1))</f>
        <v/>
      </c>
      <c r="E17" s="93">
        <f t="shared" si="10"/>
        <v>0</v>
      </c>
      <c r="F17" s="94"/>
      <c r="G17" s="101"/>
      <c r="H17" s="94"/>
      <c r="I17" s="101"/>
      <c r="J17" s="94"/>
      <c r="K17" s="102" t="str">
        <f t="shared" si="11"/>
        <v/>
      </c>
      <c r="L17" s="94"/>
      <c r="M17" s="101"/>
      <c r="N17" s="94"/>
      <c r="O17" s="101"/>
      <c r="P17" s="94"/>
      <c r="Q17" s="101"/>
      <c r="R17" s="101"/>
      <c r="S17" s="94"/>
      <c r="T17" s="101"/>
      <c r="U17" s="101"/>
      <c r="V17" s="103" t="str">
        <f t="shared" si="12"/>
        <v/>
      </c>
      <c r="W17" s="94"/>
      <c r="X17" s="101"/>
      <c r="Y17" s="94"/>
      <c r="Z17" s="101"/>
      <c r="AA17" s="94"/>
      <c r="AB17" s="101"/>
      <c r="AC17" s="101"/>
      <c r="AD17" s="94"/>
      <c r="AE17" s="101"/>
      <c r="AF17" s="101"/>
      <c r="AG17" s="103" t="str">
        <f t="shared" si="13"/>
        <v/>
      </c>
      <c r="AH17" s="94"/>
      <c r="AI17" s="101"/>
      <c r="AJ17" s="94"/>
      <c r="AK17" s="101"/>
      <c r="AL17" s="94"/>
      <c r="AM17" s="103" t="str">
        <f t="shared" si="14"/>
        <v/>
      </c>
      <c r="AN17" s="104"/>
      <c r="AO17" s="105"/>
      <c r="AP17" s="103" t="str">
        <f t="shared" si="15"/>
        <v/>
      </c>
    </row>
    <row r="18" ht="19.5" customHeight="1">
      <c r="A18" s="89" t="str">
        <f>'1erTRIM'!A18</f>
        <v/>
      </c>
      <c r="B18" s="90" t="str">
        <f>'1erTRIM'!B18</f>
        <v/>
      </c>
      <c r="C18" s="110" t="str">
        <f>'1erTRIM'!C18</f>
        <v/>
      </c>
      <c r="D18" s="92" t="str">
        <f t="array" ref="D18">IFERROR(index(Grades, match($E18*100,GradeRange,-1), 1))</f>
        <v/>
      </c>
      <c r="E18" s="93">
        <f t="shared" si="10"/>
        <v>0</v>
      </c>
      <c r="F18" s="94"/>
      <c r="G18" s="101"/>
      <c r="H18" s="94"/>
      <c r="I18" s="101"/>
      <c r="J18" s="94"/>
      <c r="K18" s="102" t="str">
        <f t="shared" si="11"/>
        <v/>
      </c>
      <c r="L18" s="94"/>
      <c r="M18" s="101"/>
      <c r="N18" s="94"/>
      <c r="O18" s="101"/>
      <c r="P18" s="94"/>
      <c r="Q18" s="101"/>
      <c r="R18" s="101"/>
      <c r="S18" s="94"/>
      <c r="T18" s="101"/>
      <c r="U18" s="101"/>
      <c r="V18" s="103" t="str">
        <f t="shared" si="12"/>
        <v/>
      </c>
      <c r="W18" s="94"/>
      <c r="X18" s="101"/>
      <c r="Y18" s="94"/>
      <c r="Z18" s="101"/>
      <c r="AA18" s="94"/>
      <c r="AB18" s="101"/>
      <c r="AC18" s="101"/>
      <c r="AD18" s="94"/>
      <c r="AE18" s="101"/>
      <c r="AF18" s="101"/>
      <c r="AG18" s="103" t="str">
        <f t="shared" si="13"/>
        <v/>
      </c>
      <c r="AH18" s="94"/>
      <c r="AI18" s="101"/>
      <c r="AJ18" s="94"/>
      <c r="AK18" s="101"/>
      <c r="AL18" s="94"/>
      <c r="AM18" s="103" t="str">
        <f t="shared" si="14"/>
        <v/>
      </c>
      <c r="AN18" s="104"/>
      <c r="AO18" s="105"/>
      <c r="AP18" s="103" t="str">
        <f t="shared" si="15"/>
        <v/>
      </c>
    </row>
    <row r="19" ht="19.5" customHeight="1">
      <c r="A19" s="89" t="str">
        <f>'1erTRIM'!A19</f>
        <v/>
      </c>
      <c r="B19" s="90" t="str">
        <f>'1erTRIM'!B19</f>
        <v/>
      </c>
      <c r="C19" s="110" t="str">
        <f>'1erTRIM'!C19</f>
        <v/>
      </c>
      <c r="D19" s="92" t="str">
        <f t="array" ref="D19">IFERROR(index(Grades, match($E19*100,GradeRange,-1), 1))</f>
        <v/>
      </c>
      <c r="E19" s="93">
        <f t="shared" si="10"/>
        <v>0</v>
      </c>
      <c r="F19" s="94"/>
      <c r="G19" s="101"/>
      <c r="H19" s="94"/>
      <c r="I19" s="101"/>
      <c r="J19" s="94"/>
      <c r="K19" s="102" t="str">
        <f t="shared" si="11"/>
        <v/>
      </c>
      <c r="L19" s="94"/>
      <c r="M19" s="101"/>
      <c r="N19" s="94"/>
      <c r="O19" s="101"/>
      <c r="P19" s="94"/>
      <c r="Q19" s="101"/>
      <c r="R19" s="101"/>
      <c r="S19" s="94"/>
      <c r="T19" s="101"/>
      <c r="U19" s="101"/>
      <c r="V19" s="103" t="str">
        <f t="shared" si="12"/>
        <v/>
      </c>
      <c r="W19" s="94"/>
      <c r="X19" s="101"/>
      <c r="Y19" s="94"/>
      <c r="Z19" s="101"/>
      <c r="AA19" s="94"/>
      <c r="AB19" s="101"/>
      <c r="AC19" s="101"/>
      <c r="AD19" s="94"/>
      <c r="AE19" s="101"/>
      <c r="AF19" s="101"/>
      <c r="AG19" s="103" t="str">
        <f t="shared" si="13"/>
        <v/>
      </c>
      <c r="AH19" s="94"/>
      <c r="AI19" s="101"/>
      <c r="AJ19" s="94"/>
      <c r="AK19" s="101"/>
      <c r="AL19" s="94"/>
      <c r="AM19" s="103" t="str">
        <f t="shared" si="14"/>
        <v/>
      </c>
      <c r="AN19" s="104"/>
      <c r="AO19" s="105"/>
      <c r="AP19" s="103" t="str">
        <f t="shared" si="15"/>
        <v/>
      </c>
    </row>
    <row r="20" ht="19.5" customHeight="1">
      <c r="A20" s="89" t="str">
        <f>'1erTRIM'!A20</f>
        <v/>
      </c>
      <c r="B20" s="90" t="str">
        <f>'1erTRIM'!B20</f>
        <v/>
      </c>
      <c r="C20" s="110" t="str">
        <f>'1erTRIM'!C20</f>
        <v/>
      </c>
      <c r="D20" s="92" t="str">
        <f t="array" ref="D20">IFERROR(index(Grades, match($E20*100,GradeRange,-1), 1))</f>
        <v/>
      </c>
      <c r="E20" s="93">
        <f t="shared" si="10"/>
        <v>0</v>
      </c>
      <c r="F20" s="94"/>
      <c r="G20" s="101"/>
      <c r="H20" s="94"/>
      <c r="I20" s="101"/>
      <c r="J20" s="94"/>
      <c r="K20" s="102" t="str">
        <f t="shared" si="11"/>
        <v/>
      </c>
      <c r="L20" s="94"/>
      <c r="M20" s="101"/>
      <c r="N20" s="94"/>
      <c r="O20" s="101"/>
      <c r="P20" s="94"/>
      <c r="Q20" s="101"/>
      <c r="R20" s="101"/>
      <c r="S20" s="94"/>
      <c r="T20" s="101"/>
      <c r="U20" s="101"/>
      <c r="V20" s="103" t="str">
        <f t="shared" si="12"/>
        <v/>
      </c>
      <c r="W20" s="94"/>
      <c r="X20" s="101"/>
      <c r="Y20" s="94"/>
      <c r="Z20" s="101"/>
      <c r="AA20" s="94"/>
      <c r="AB20" s="101"/>
      <c r="AC20" s="101"/>
      <c r="AD20" s="94"/>
      <c r="AE20" s="101"/>
      <c r="AF20" s="101"/>
      <c r="AG20" s="103" t="str">
        <f t="shared" si="13"/>
        <v/>
      </c>
      <c r="AH20" s="94"/>
      <c r="AI20" s="101"/>
      <c r="AJ20" s="94"/>
      <c r="AK20" s="101"/>
      <c r="AL20" s="94"/>
      <c r="AM20" s="103" t="str">
        <f t="shared" si="14"/>
        <v/>
      </c>
      <c r="AN20" s="104"/>
      <c r="AO20" s="105"/>
      <c r="AP20" s="103" t="str">
        <f t="shared" si="15"/>
        <v/>
      </c>
    </row>
    <row r="21" ht="19.5" customHeight="1">
      <c r="A21" s="89" t="str">
        <f>'1erTRIM'!A21</f>
        <v/>
      </c>
      <c r="B21" s="90" t="str">
        <f>'1erTRIM'!B21</f>
        <v/>
      </c>
      <c r="C21" s="110" t="str">
        <f>'1erTRIM'!C21</f>
        <v/>
      </c>
      <c r="D21" s="92" t="str">
        <f t="array" ref="D21">IFERROR(index(Grades, match($E21*100,GradeRange,-1), 1))</f>
        <v/>
      </c>
      <c r="E21" s="93">
        <f t="shared" si="10"/>
        <v>0</v>
      </c>
      <c r="F21" s="94"/>
      <c r="G21" s="101"/>
      <c r="H21" s="94"/>
      <c r="I21" s="101"/>
      <c r="J21" s="94"/>
      <c r="K21" s="102" t="str">
        <f t="shared" si="11"/>
        <v/>
      </c>
      <c r="L21" s="94"/>
      <c r="M21" s="101"/>
      <c r="N21" s="94"/>
      <c r="O21" s="101"/>
      <c r="P21" s="94"/>
      <c r="Q21" s="101"/>
      <c r="R21" s="101"/>
      <c r="S21" s="94"/>
      <c r="T21" s="101"/>
      <c r="U21" s="101"/>
      <c r="V21" s="103" t="str">
        <f t="shared" si="12"/>
        <v/>
      </c>
      <c r="W21" s="94"/>
      <c r="X21" s="101"/>
      <c r="Y21" s="94"/>
      <c r="Z21" s="101"/>
      <c r="AA21" s="94"/>
      <c r="AB21" s="101"/>
      <c r="AC21" s="101"/>
      <c r="AD21" s="94"/>
      <c r="AE21" s="101"/>
      <c r="AF21" s="101"/>
      <c r="AG21" s="103" t="str">
        <f t="shared" si="13"/>
        <v/>
      </c>
      <c r="AH21" s="94"/>
      <c r="AI21" s="101"/>
      <c r="AJ21" s="94"/>
      <c r="AK21" s="101"/>
      <c r="AL21" s="94"/>
      <c r="AM21" s="103" t="str">
        <f t="shared" si="14"/>
        <v/>
      </c>
      <c r="AN21" s="104"/>
      <c r="AO21" s="105"/>
      <c r="AP21" s="103" t="str">
        <f t="shared" si="15"/>
        <v/>
      </c>
    </row>
    <row r="22" ht="19.5" customHeight="1">
      <c r="A22" s="89" t="str">
        <f>'1erTRIM'!A22</f>
        <v/>
      </c>
      <c r="B22" s="90" t="str">
        <f>'1erTRIM'!B22</f>
        <v/>
      </c>
      <c r="C22" s="110" t="str">
        <f>'1erTRIM'!C22</f>
        <v/>
      </c>
      <c r="D22" s="92" t="str">
        <f t="array" ref="D22">IFERROR(index(Grades, match($E22*100,GradeRange,-1), 1))</f>
        <v/>
      </c>
      <c r="E22" s="93">
        <f t="shared" si="10"/>
        <v>0</v>
      </c>
      <c r="F22" s="94"/>
      <c r="G22" s="101"/>
      <c r="H22" s="94"/>
      <c r="I22" s="101"/>
      <c r="J22" s="94"/>
      <c r="K22" s="102" t="str">
        <f t="shared" si="11"/>
        <v/>
      </c>
      <c r="L22" s="94"/>
      <c r="M22" s="101"/>
      <c r="N22" s="94"/>
      <c r="O22" s="101"/>
      <c r="P22" s="94"/>
      <c r="Q22" s="101"/>
      <c r="R22" s="101"/>
      <c r="S22" s="94"/>
      <c r="T22" s="101"/>
      <c r="U22" s="101"/>
      <c r="V22" s="103" t="str">
        <f t="shared" si="12"/>
        <v/>
      </c>
      <c r="W22" s="94"/>
      <c r="X22" s="101"/>
      <c r="Y22" s="94"/>
      <c r="Z22" s="101"/>
      <c r="AA22" s="94"/>
      <c r="AB22" s="101"/>
      <c r="AC22" s="101"/>
      <c r="AD22" s="94"/>
      <c r="AE22" s="101"/>
      <c r="AF22" s="101"/>
      <c r="AG22" s="103" t="str">
        <f t="shared" si="13"/>
        <v/>
      </c>
      <c r="AH22" s="94"/>
      <c r="AI22" s="101"/>
      <c r="AJ22" s="94"/>
      <c r="AK22" s="101"/>
      <c r="AL22" s="94"/>
      <c r="AM22" s="103" t="str">
        <f t="shared" si="14"/>
        <v/>
      </c>
      <c r="AN22" s="104"/>
      <c r="AO22" s="105"/>
      <c r="AP22" s="103" t="str">
        <f t="shared" si="15"/>
        <v/>
      </c>
    </row>
    <row r="23" ht="19.5" customHeight="1">
      <c r="A23" s="89" t="str">
        <f>'1erTRIM'!A23</f>
        <v/>
      </c>
      <c r="B23" s="90" t="str">
        <f>'1erTRIM'!B23</f>
        <v/>
      </c>
      <c r="C23" s="110" t="str">
        <f>'1erTRIM'!C23</f>
        <v/>
      </c>
      <c r="D23" s="92" t="str">
        <f t="array" ref="D23">IFERROR(index(Grades, match($E23*100,GradeRange,-1), 1))</f>
        <v/>
      </c>
      <c r="E23" s="93">
        <f t="shared" si="10"/>
        <v>0</v>
      </c>
      <c r="F23" s="94"/>
      <c r="G23" s="101"/>
      <c r="H23" s="94"/>
      <c r="I23" s="101"/>
      <c r="J23" s="94"/>
      <c r="K23" s="102" t="str">
        <f t="shared" si="11"/>
        <v/>
      </c>
      <c r="L23" s="94"/>
      <c r="M23" s="101"/>
      <c r="N23" s="94"/>
      <c r="O23" s="101"/>
      <c r="P23" s="94"/>
      <c r="Q23" s="101"/>
      <c r="R23" s="101"/>
      <c r="S23" s="94"/>
      <c r="T23" s="101"/>
      <c r="U23" s="101"/>
      <c r="V23" s="103" t="str">
        <f t="shared" si="12"/>
        <v/>
      </c>
      <c r="W23" s="94"/>
      <c r="X23" s="101"/>
      <c r="Y23" s="94"/>
      <c r="Z23" s="101"/>
      <c r="AA23" s="94"/>
      <c r="AB23" s="101"/>
      <c r="AC23" s="101"/>
      <c r="AD23" s="94"/>
      <c r="AE23" s="101"/>
      <c r="AF23" s="101"/>
      <c r="AG23" s="103" t="str">
        <f t="shared" si="13"/>
        <v/>
      </c>
      <c r="AH23" s="94"/>
      <c r="AI23" s="101"/>
      <c r="AJ23" s="94"/>
      <c r="AK23" s="101"/>
      <c r="AL23" s="94"/>
      <c r="AM23" s="103" t="str">
        <f t="shared" si="14"/>
        <v/>
      </c>
      <c r="AN23" s="104"/>
      <c r="AO23" s="105"/>
      <c r="AP23" s="103" t="str">
        <f t="shared" si="15"/>
        <v/>
      </c>
    </row>
    <row r="24" ht="19.5" customHeight="1">
      <c r="A24" s="89" t="str">
        <f>'1erTRIM'!A24</f>
        <v/>
      </c>
      <c r="B24" s="90" t="str">
        <f>'1erTRIM'!B24</f>
        <v/>
      </c>
      <c r="C24" s="110" t="str">
        <f>'1erTRIM'!C24</f>
        <v/>
      </c>
      <c r="D24" s="92" t="str">
        <f t="array" ref="D24">IFERROR(index(Grades, match($E24*100,GradeRange,-1), 1))</f>
        <v/>
      </c>
      <c r="E24" s="93">
        <f t="shared" si="10"/>
        <v>0</v>
      </c>
      <c r="F24" s="94"/>
      <c r="G24" s="101"/>
      <c r="H24" s="94"/>
      <c r="I24" s="101"/>
      <c r="J24" s="94"/>
      <c r="K24" s="102" t="str">
        <f t="shared" si="11"/>
        <v/>
      </c>
      <c r="L24" s="94"/>
      <c r="M24" s="101"/>
      <c r="N24" s="94"/>
      <c r="O24" s="101"/>
      <c r="P24" s="94"/>
      <c r="Q24" s="101"/>
      <c r="R24" s="101"/>
      <c r="S24" s="94"/>
      <c r="T24" s="101"/>
      <c r="U24" s="101"/>
      <c r="V24" s="103" t="str">
        <f t="shared" si="12"/>
        <v/>
      </c>
      <c r="W24" s="94"/>
      <c r="X24" s="101"/>
      <c r="Y24" s="94"/>
      <c r="Z24" s="101"/>
      <c r="AA24" s="94"/>
      <c r="AB24" s="101"/>
      <c r="AC24" s="101"/>
      <c r="AD24" s="94"/>
      <c r="AE24" s="101"/>
      <c r="AF24" s="101"/>
      <c r="AG24" s="103" t="str">
        <f t="shared" si="13"/>
        <v/>
      </c>
      <c r="AH24" s="94"/>
      <c r="AI24" s="101"/>
      <c r="AJ24" s="94"/>
      <c r="AK24" s="101"/>
      <c r="AL24" s="94"/>
      <c r="AM24" s="103" t="str">
        <f t="shared" si="14"/>
        <v/>
      </c>
      <c r="AN24" s="104"/>
      <c r="AO24" s="105"/>
      <c r="AP24" s="103" t="str">
        <f t="shared" si="15"/>
        <v/>
      </c>
    </row>
    <row r="25" ht="19.5" customHeight="1">
      <c r="A25" s="89" t="str">
        <f>'1erTRIM'!A25</f>
        <v/>
      </c>
      <c r="B25" s="90" t="str">
        <f>'1erTRIM'!B25</f>
        <v/>
      </c>
      <c r="C25" s="110" t="str">
        <f>'1erTRIM'!C25</f>
        <v/>
      </c>
      <c r="D25" s="92" t="str">
        <f t="array" ref="D25">IFERROR(index(Grades, match($E25*100,GradeRange,-1), 1))</f>
        <v/>
      </c>
      <c r="E25" s="93">
        <f t="shared" si="10"/>
        <v>0</v>
      </c>
      <c r="F25" s="94"/>
      <c r="G25" s="101"/>
      <c r="H25" s="94"/>
      <c r="I25" s="101"/>
      <c r="J25" s="94"/>
      <c r="K25" s="102" t="str">
        <f t="shared" si="11"/>
        <v/>
      </c>
      <c r="L25" s="94"/>
      <c r="M25" s="101"/>
      <c r="N25" s="94"/>
      <c r="O25" s="101"/>
      <c r="P25" s="94"/>
      <c r="Q25" s="101"/>
      <c r="R25" s="101"/>
      <c r="S25" s="94"/>
      <c r="T25" s="101"/>
      <c r="U25" s="101"/>
      <c r="V25" s="103" t="str">
        <f t="shared" si="12"/>
        <v/>
      </c>
      <c r="W25" s="94"/>
      <c r="X25" s="101"/>
      <c r="Y25" s="94"/>
      <c r="Z25" s="101"/>
      <c r="AA25" s="94"/>
      <c r="AB25" s="101"/>
      <c r="AC25" s="101"/>
      <c r="AD25" s="94"/>
      <c r="AE25" s="101"/>
      <c r="AF25" s="101"/>
      <c r="AG25" s="103" t="str">
        <f t="shared" si="13"/>
        <v/>
      </c>
      <c r="AH25" s="94"/>
      <c r="AI25" s="101"/>
      <c r="AJ25" s="94"/>
      <c r="AK25" s="101"/>
      <c r="AL25" s="94"/>
      <c r="AM25" s="103" t="str">
        <f t="shared" si="14"/>
        <v/>
      </c>
      <c r="AN25" s="104"/>
      <c r="AO25" s="105"/>
      <c r="AP25" s="103" t="str">
        <f t="shared" si="15"/>
        <v/>
      </c>
    </row>
    <row r="26" ht="19.5" customHeight="1">
      <c r="A26" s="89" t="str">
        <f>'1erTRIM'!A26</f>
        <v/>
      </c>
      <c r="B26" s="90" t="str">
        <f>'1erTRIM'!B26</f>
        <v/>
      </c>
      <c r="C26" s="110" t="str">
        <f>'1erTRIM'!C26</f>
        <v/>
      </c>
      <c r="D26" s="92" t="str">
        <f t="array" ref="D26">IFERROR(index(Grades, match($E26*100,GradeRange,-1), 1))</f>
        <v/>
      </c>
      <c r="E26" s="93">
        <f t="shared" si="10"/>
        <v>0</v>
      </c>
      <c r="F26" s="94"/>
      <c r="G26" s="101"/>
      <c r="H26" s="94"/>
      <c r="I26" s="101"/>
      <c r="J26" s="94"/>
      <c r="K26" s="102" t="str">
        <f t="shared" si="11"/>
        <v/>
      </c>
      <c r="L26" s="94"/>
      <c r="M26" s="101"/>
      <c r="N26" s="94"/>
      <c r="O26" s="101"/>
      <c r="P26" s="94"/>
      <c r="Q26" s="101"/>
      <c r="R26" s="101"/>
      <c r="S26" s="94"/>
      <c r="T26" s="101"/>
      <c r="U26" s="101"/>
      <c r="V26" s="103" t="str">
        <f t="shared" si="12"/>
        <v/>
      </c>
      <c r="W26" s="94"/>
      <c r="X26" s="101"/>
      <c r="Y26" s="94"/>
      <c r="Z26" s="101"/>
      <c r="AA26" s="94"/>
      <c r="AB26" s="101"/>
      <c r="AC26" s="101"/>
      <c r="AD26" s="94"/>
      <c r="AE26" s="101"/>
      <c r="AF26" s="101"/>
      <c r="AG26" s="103" t="str">
        <f t="shared" si="13"/>
        <v/>
      </c>
      <c r="AH26" s="94"/>
      <c r="AI26" s="101"/>
      <c r="AJ26" s="94"/>
      <c r="AK26" s="101"/>
      <c r="AL26" s="94"/>
      <c r="AM26" s="103" t="str">
        <f t="shared" si="14"/>
        <v/>
      </c>
      <c r="AN26" s="104"/>
      <c r="AO26" s="105"/>
      <c r="AP26" s="103" t="str">
        <f t="shared" si="15"/>
        <v/>
      </c>
    </row>
    <row r="27" ht="19.5" customHeight="1">
      <c r="A27" s="89" t="str">
        <f>'1erTRIM'!A27</f>
        <v/>
      </c>
      <c r="B27" s="90" t="str">
        <f>'1erTRIM'!B27</f>
        <v/>
      </c>
      <c r="C27" s="110" t="str">
        <f>'1erTRIM'!C27</f>
        <v/>
      </c>
      <c r="D27" s="92" t="str">
        <f t="array" ref="D27">IFERROR(index(Grades, match($E27*100,GradeRange,-1), 1))</f>
        <v/>
      </c>
      <c r="E27" s="93">
        <f t="shared" si="10"/>
        <v>0</v>
      </c>
      <c r="F27" s="94"/>
      <c r="G27" s="101"/>
      <c r="H27" s="94"/>
      <c r="I27" s="101"/>
      <c r="J27" s="94"/>
      <c r="K27" s="102" t="str">
        <f t="shared" si="11"/>
        <v/>
      </c>
      <c r="L27" s="94"/>
      <c r="M27" s="101"/>
      <c r="N27" s="94"/>
      <c r="O27" s="101"/>
      <c r="P27" s="94"/>
      <c r="Q27" s="101"/>
      <c r="R27" s="101"/>
      <c r="S27" s="94"/>
      <c r="T27" s="101"/>
      <c r="U27" s="101"/>
      <c r="V27" s="103" t="str">
        <f t="shared" si="12"/>
        <v/>
      </c>
      <c r="W27" s="94"/>
      <c r="X27" s="101"/>
      <c r="Y27" s="94"/>
      <c r="Z27" s="101"/>
      <c r="AA27" s="94"/>
      <c r="AB27" s="101"/>
      <c r="AC27" s="101"/>
      <c r="AD27" s="94"/>
      <c r="AE27" s="101"/>
      <c r="AF27" s="101"/>
      <c r="AG27" s="103" t="str">
        <f t="shared" si="13"/>
        <v/>
      </c>
      <c r="AH27" s="94"/>
      <c r="AI27" s="101"/>
      <c r="AJ27" s="94"/>
      <c r="AK27" s="101"/>
      <c r="AL27" s="94"/>
      <c r="AM27" s="103" t="str">
        <f t="shared" si="14"/>
        <v/>
      </c>
      <c r="AN27" s="104"/>
      <c r="AO27" s="105"/>
      <c r="AP27" s="103" t="str">
        <f t="shared" si="15"/>
        <v/>
      </c>
    </row>
    <row r="28" ht="19.5" customHeight="1">
      <c r="A28" s="89" t="str">
        <f>'1erTRIM'!A28</f>
        <v/>
      </c>
      <c r="B28" s="90" t="str">
        <f>'1erTRIM'!B28</f>
        <v/>
      </c>
      <c r="C28" s="110" t="str">
        <f>'1erTRIM'!C28</f>
        <v/>
      </c>
      <c r="D28" s="92" t="str">
        <f t="array" ref="D28">IFERROR(index(Grades, match($E28*100,GradeRange,-1), 1))</f>
        <v/>
      </c>
      <c r="E28" s="93">
        <f t="shared" si="10"/>
        <v>0</v>
      </c>
      <c r="F28" s="94"/>
      <c r="G28" s="101"/>
      <c r="H28" s="94"/>
      <c r="I28" s="101"/>
      <c r="J28" s="94"/>
      <c r="K28" s="102" t="str">
        <f t="shared" si="11"/>
        <v/>
      </c>
      <c r="L28" s="94"/>
      <c r="M28" s="101"/>
      <c r="N28" s="94"/>
      <c r="O28" s="101"/>
      <c r="P28" s="94"/>
      <c r="Q28" s="101"/>
      <c r="R28" s="101"/>
      <c r="S28" s="94"/>
      <c r="T28" s="101"/>
      <c r="U28" s="101"/>
      <c r="V28" s="103" t="str">
        <f t="shared" si="12"/>
        <v/>
      </c>
      <c r="W28" s="94"/>
      <c r="X28" s="101"/>
      <c r="Y28" s="94"/>
      <c r="Z28" s="101"/>
      <c r="AA28" s="94"/>
      <c r="AB28" s="101"/>
      <c r="AC28" s="101"/>
      <c r="AD28" s="94"/>
      <c r="AE28" s="101"/>
      <c r="AF28" s="101"/>
      <c r="AG28" s="103" t="str">
        <f t="shared" si="13"/>
        <v/>
      </c>
      <c r="AH28" s="94"/>
      <c r="AI28" s="101"/>
      <c r="AJ28" s="94"/>
      <c r="AK28" s="101"/>
      <c r="AL28" s="94"/>
      <c r="AM28" s="103" t="str">
        <f t="shared" si="14"/>
        <v/>
      </c>
      <c r="AN28" s="104"/>
      <c r="AO28" s="105"/>
      <c r="AP28" s="103" t="str">
        <f t="shared" si="15"/>
        <v/>
      </c>
    </row>
    <row r="29" ht="19.5" customHeight="1">
      <c r="A29" s="89" t="str">
        <f>'1erTRIM'!A29</f>
        <v/>
      </c>
      <c r="B29" s="90" t="str">
        <f>'1erTRIM'!B29</f>
        <v/>
      </c>
      <c r="C29" s="110" t="str">
        <f>'1erTRIM'!C29</f>
        <v/>
      </c>
      <c r="D29" s="92" t="str">
        <f t="array" ref="D29">IFERROR(index(Grades, match($E29*100,GradeRange,-1), 1))</f>
        <v/>
      </c>
      <c r="E29" s="93">
        <f t="shared" si="10"/>
        <v>0</v>
      </c>
      <c r="F29" s="94"/>
      <c r="G29" s="101"/>
      <c r="H29" s="94"/>
      <c r="I29" s="101"/>
      <c r="J29" s="94"/>
      <c r="K29" s="102" t="str">
        <f t="shared" si="11"/>
        <v/>
      </c>
      <c r="L29" s="94"/>
      <c r="M29" s="101"/>
      <c r="N29" s="94"/>
      <c r="O29" s="101"/>
      <c r="P29" s="94"/>
      <c r="Q29" s="101"/>
      <c r="R29" s="101"/>
      <c r="S29" s="94"/>
      <c r="T29" s="101"/>
      <c r="U29" s="101"/>
      <c r="V29" s="103" t="str">
        <f t="shared" si="12"/>
        <v/>
      </c>
      <c r="W29" s="94"/>
      <c r="X29" s="101"/>
      <c r="Y29" s="94"/>
      <c r="Z29" s="101"/>
      <c r="AA29" s="94"/>
      <c r="AB29" s="101"/>
      <c r="AC29" s="101"/>
      <c r="AD29" s="94"/>
      <c r="AE29" s="101"/>
      <c r="AF29" s="101"/>
      <c r="AG29" s="103" t="str">
        <f t="shared" si="13"/>
        <v/>
      </c>
      <c r="AH29" s="94"/>
      <c r="AI29" s="101"/>
      <c r="AJ29" s="94"/>
      <c r="AK29" s="101"/>
      <c r="AL29" s="94"/>
      <c r="AM29" s="103" t="str">
        <f t="shared" si="14"/>
        <v/>
      </c>
      <c r="AN29" s="104"/>
      <c r="AO29" s="105"/>
      <c r="AP29" s="103" t="str">
        <f t="shared" si="15"/>
        <v/>
      </c>
    </row>
    <row r="30" ht="19.5" customHeight="1">
      <c r="A30" s="89" t="str">
        <f>'1erTRIM'!A30</f>
        <v/>
      </c>
      <c r="B30" s="90" t="str">
        <f>'1erTRIM'!B30</f>
        <v/>
      </c>
      <c r="C30" s="110" t="str">
        <f>'1erTRIM'!C30</f>
        <v/>
      </c>
      <c r="D30" s="92" t="str">
        <f t="array" ref="D30">IFERROR(index(Grades, match($E30*100,GradeRange,-1), 1))</f>
        <v/>
      </c>
      <c r="E30" s="93">
        <f t="shared" si="10"/>
        <v>0</v>
      </c>
      <c r="F30" s="94"/>
      <c r="G30" s="101"/>
      <c r="H30" s="94"/>
      <c r="I30" s="101"/>
      <c r="J30" s="94"/>
      <c r="K30" s="102" t="str">
        <f t="shared" si="11"/>
        <v/>
      </c>
      <c r="L30" s="94"/>
      <c r="M30" s="101"/>
      <c r="N30" s="94"/>
      <c r="O30" s="101"/>
      <c r="P30" s="94"/>
      <c r="Q30" s="101"/>
      <c r="R30" s="101"/>
      <c r="S30" s="94"/>
      <c r="T30" s="101"/>
      <c r="U30" s="101"/>
      <c r="V30" s="103" t="str">
        <f t="shared" si="12"/>
        <v/>
      </c>
      <c r="W30" s="94"/>
      <c r="X30" s="101"/>
      <c r="Y30" s="94"/>
      <c r="Z30" s="101"/>
      <c r="AA30" s="94"/>
      <c r="AB30" s="101"/>
      <c r="AC30" s="101"/>
      <c r="AD30" s="94"/>
      <c r="AE30" s="101"/>
      <c r="AF30" s="101"/>
      <c r="AG30" s="103" t="str">
        <f t="shared" si="13"/>
        <v/>
      </c>
      <c r="AH30" s="94"/>
      <c r="AI30" s="101"/>
      <c r="AJ30" s="94"/>
      <c r="AK30" s="101"/>
      <c r="AL30" s="94"/>
      <c r="AM30" s="103" t="str">
        <f t="shared" si="14"/>
        <v/>
      </c>
      <c r="AN30" s="104"/>
      <c r="AO30" s="105"/>
      <c r="AP30" s="103" t="str">
        <f t="shared" si="15"/>
        <v/>
      </c>
    </row>
    <row r="31" ht="19.5" customHeight="1">
      <c r="A31" s="89" t="str">
        <f>'1erTRIM'!A31</f>
        <v/>
      </c>
      <c r="B31" s="90" t="str">
        <f>'1erTRIM'!B31</f>
        <v/>
      </c>
      <c r="C31" s="110" t="str">
        <f>'1erTRIM'!C31</f>
        <v/>
      </c>
      <c r="D31" s="92" t="str">
        <f t="array" ref="D31">IFERROR(index(Grades, match($E31*100,GradeRange,-1), 1))</f>
        <v/>
      </c>
      <c r="E31" s="93">
        <f t="shared" si="10"/>
        <v>0</v>
      </c>
      <c r="F31" s="94"/>
      <c r="G31" s="101"/>
      <c r="H31" s="94"/>
      <c r="I31" s="101"/>
      <c r="J31" s="94"/>
      <c r="K31" s="102" t="str">
        <f t="shared" si="11"/>
        <v/>
      </c>
      <c r="L31" s="94"/>
      <c r="M31" s="101"/>
      <c r="N31" s="94"/>
      <c r="O31" s="101"/>
      <c r="P31" s="94"/>
      <c r="Q31" s="101"/>
      <c r="R31" s="101"/>
      <c r="S31" s="94"/>
      <c r="T31" s="101"/>
      <c r="U31" s="101"/>
      <c r="V31" s="103" t="str">
        <f t="shared" si="12"/>
        <v/>
      </c>
      <c r="W31" s="94"/>
      <c r="X31" s="101"/>
      <c r="Y31" s="94"/>
      <c r="Z31" s="101"/>
      <c r="AA31" s="94"/>
      <c r="AB31" s="101"/>
      <c r="AC31" s="101"/>
      <c r="AD31" s="94"/>
      <c r="AE31" s="101"/>
      <c r="AF31" s="101"/>
      <c r="AG31" s="103" t="str">
        <f t="shared" si="13"/>
        <v/>
      </c>
      <c r="AH31" s="94"/>
      <c r="AI31" s="101"/>
      <c r="AJ31" s="94"/>
      <c r="AK31" s="101"/>
      <c r="AL31" s="94"/>
      <c r="AM31" s="103" t="str">
        <f t="shared" si="14"/>
        <v/>
      </c>
      <c r="AN31" s="104"/>
      <c r="AO31" s="105"/>
      <c r="AP31" s="103" t="str">
        <f t="shared" si="15"/>
        <v/>
      </c>
    </row>
    <row r="32" ht="19.5" customHeight="1">
      <c r="A32" s="106" t="str">
        <f>'1erTRIM'!A32</f>
        <v/>
      </c>
      <c r="B32" s="90" t="str">
        <f>'1erTRIM'!B32</f>
        <v/>
      </c>
      <c r="C32" s="110" t="str">
        <f>'1erTRIM'!C32</f>
        <v/>
      </c>
      <c r="D32" s="92" t="str">
        <f t="array" ref="D32">IFERROR(index(Grades, match($E32*100,GradeRange,-1), 1))</f>
        <v/>
      </c>
      <c r="E32" s="93">
        <f t="shared" si="10"/>
        <v>0</v>
      </c>
      <c r="F32" s="94"/>
      <c r="G32" s="101"/>
      <c r="H32" s="94"/>
      <c r="I32" s="101"/>
      <c r="J32" s="94"/>
      <c r="K32" s="102" t="str">
        <f t="shared" si="11"/>
        <v/>
      </c>
      <c r="L32" s="94"/>
      <c r="M32" s="101"/>
      <c r="N32" s="94"/>
      <c r="O32" s="101"/>
      <c r="P32" s="94"/>
      <c r="Q32" s="101"/>
      <c r="R32" s="101"/>
      <c r="S32" s="94"/>
      <c r="T32" s="101"/>
      <c r="U32" s="101"/>
      <c r="V32" s="102" t="str">
        <f t="shared" si="12"/>
        <v/>
      </c>
      <c r="W32" s="94"/>
      <c r="X32" s="101"/>
      <c r="Y32" s="94"/>
      <c r="Z32" s="101"/>
      <c r="AA32" s="94"/>
      <c r="AB32" s="101"/>
      <c r="AC32" s="101"/>
      <c r="AD32" s="94"/>
      <c r="AE32" s="101"/>
      <c r="AF32" s="101"/>
      <c r="AG32" s="102" t="str">
        <f t="shared" si="13"/>
        <v/>
      </c>
      <c r="AH32" s="94"/>
      <c r="AI32" s="101"/>
      <c r="AJ32" s="94"/>
      <c r="AK32" s="101"/>
      <c r="AL32" s="94"/>
      <c r="AM32" s="102" t="str">
        <f t="shared" si="14"/>
        <v/>
      </c>
      <c r="AN32" s="107"/>
      <c r="AO32" s="108"/>
      <c r="AP32" s="102" t="str">
        <f t="shared" si="15"/>
        <v/>
      </c>
    </row>
    <row r="33" ht="19.5" customHeight="1">
      <c r="A33" s="106" t="str">
        <f>'1erTRIM'!A33</f>
        <v/>
      </c>
      <c r="B33" s="90" t="str">
        <f>'1erTRIM'!B33</f>
        <v/>
      </c>
      <c r="C33" s="110" t="str">
        <f>'1erTRIM'!C33</f>
        <v/>
      </c>
      <c r="D33" s="92" t="str">
        <f t="array" ref="D33">IFERROR(index(Grades, match($E33*100,GradeRange,-1), 1))</f>
        <v/>
      </c>
      <c r="E33" s="93">
        <f t="shared" si="10"/>
        <v>0</v>
      </c>
      <c r="F33" s="94"/>
      <c r="G33" s="101"/>
      <c r="H33" s="94"/>
      <c r="I33" s="101"/>
      <c r="J33" s="94"/>
      <c r="K33" s="102" t="str">
        <f t="shared" si="11"/>
        <v/>
      </c>
      <c r="L33" s="94"/>
      <c r="M33" s="101"/>
      <c r="N33" s="94"/>
      <c r="O33" s="101"/>
      <c r="P33" s="94"/>
      <c r="Q33" s="101"/>
      <c r="R33" s="101"/>
      <c r="S33" s="94"/>
      <c r="T33" s="101"/>
      <c r="U33" s="101"/>
      <c r="V33" s="102" t="str">
        <f t="shared" si="12"/>
        <v/>
      </c>
      <c r="W33" s="94"/>
      <c r="X33" s="101"/>
      <c r="Y33" s="94"/>
      <c r="Z33" s="101"/>
      <c r="AA33" s="94"/>
      <c r="AB33" s="101"/>
      <c r="AC33" s="101"/>
      <c r="AD33" s="94"/>
      <c r="AE33" s="101"/>
      <c r="AF33" s="101"/>
      <c r="AG33" s="102" t="str">
        <f t="shared" si="13"/>
        <v/>
      </c>
      <c r="AH33" s="94"/>
      <c r="AI33" s="101"/>
      <c r="AJ33" s="94"/>
      <c r="AK33" s="101"/>
      <c r="AL33" s="94"/>
      <c r="AM33" s="102" t="str">
        <f t="shared" si="14"/>
        <v/>
      </c>
      <c r="AN33" s="107"/>
      <c r="AO33" s="108"/>
      <c r="AP33" s="102" t="str">
        <f t="shared" si="15"/>
        <v/>
      </c>
    </row>
    <row r="34" ht="19.5" customHeight="1">
      <c r="A34" s="106" t="str">
        <f>'1erTRIM'!A34</f>
        <v/>
      </c>
      <c r="B34" s="90" t="str">
        <f>'1erTRIM'!B34</f>
        <v/>
      </c>
      <c r="C34" s="110" t="str">
        <f>'1erTRIM'!C34</f>
        <v/>
      </c>
      <c r="D34" s="92" t="str">
        <f t="array" ref="D34">IFERROR(index(Grades, match($E34*100,GradeRange,-1), 1))</f>
        <v/>
      </c>
      <c r="E34" s="93">
        <f t="shared" si="10"/>
        <v>0</v>
      </c>
      <c r="F34" s="38"/>
      <c r="G34" s="109"/>
      <c r="H34" s="38"/>
      <c r="I34" s="109"/>
      <c r="J34" s="38"/>
      <c r="K34" s="102" t="str">
        <f t="shared" si="11"/>
        <v/>
      </c>
      <c r="L34" s="38"/>
      <c r="M34" s="109"/>
      <c r="N34" s="38"/>
      <c r="O34" s="109"/>
      <c r="P34" s="38"/>
      <c r="Q34" s="109"/>
      <c r="R34" s="109"/>
      <c r="S34" s="38"/>
      <c r="T34" s="109"/>
      <c r="U34" s="109"/>
      <c r="V34" s="102" t="str">
        <f t="shared" si="12"/>
        <v/>
      </c>
      <c r="W34" s="38"/>
      <c r="X34" s="109"/>
      <c r="Y34" s="38"/>
      <c r="Z34" s="109"/>
      <c r="AA34" s="38"/>
      <c r="AB34" s="109"/>
      <c r="AC34" s="109"/>
      <c r="AD34" s="38"/>
      <c r="AE34" s="109"/>
      <c r="AF34" s="109"/>
      <c r="AG34" s="102" t="str">
        <f t="shared" si="13"/>
        <v/>
      </c>
      <c r="AH34" s="38"/>
      <c r="AI34" s="109"/>
      <c r="AJ34" s="38"/>
      <c r="AK34" s="109"/>
      <c r="AL34" s="38"/>
      <c r="AM34" s="102" t="str">
        <f t="shared" si="14"/>
        <v/>
      </c>
      <c r="AN34" s="107"/>
      <c r="AO34" s="108"/>
      <c r="AP34" s="102" t="str">
        <f t="shared" si="15"/>
        <v/>
      </c>
    </row>
    <row r="35" ht="19.5" customHeight="1">
      <c r="A35" s="106" t="str">
        <f>'1erTRIM'!A35</f>
        <v/>
      </c>
      <c r="B35" s="90" t="str">
        <f>'1erTRIM'!B35</f>
        <v/>
      </c>
      <c r="C35" s="110" t="str">
        <f>'1erTRIM'!C35</f>
        <v/>
      </c>
      <c r="D35" s="92" t="str">
        <f t="array" ref="D35">IFERROR(index(Grades, match($E35*100,GradeRange,-1), 1))</f>
        <v/>
      </c>
      <c r="E35" s="93">
        <f t="shared" si="10"/>
        <v>0</v>
      </c>
      <c r="F35" s="38"/>
      <c r="G35" s="109"/>
      <c r="H35" s="38"/>
      <c r="I35" s="109"/>
      <c r="J35" s="38"/>
      <c r="K35" s="102" t="str">
        <f t="shared" si="11"/>
        <v/>
      </c>
      <c r="L35" s="38"/>
      <c r="M35" s="109"/>
      <c r="N35" s="38"/>
      <c r="O35" s="109"/>
      <c r="P35" s="38"/>
      <c r="Q35" s="109"/>
      <c r="R35" s="109"/>
      <c r="S35" s="38"/>
      <c r="T35" s="109"/>
      <c r="U35" s="109"/>
      <c r="V35" s="102" t="str">
        <f t="shared" si="12"/>
        <v/>
      </c>
      <c r="W35" s="38"/>
      <c r="X35" s="109"/>
      <c r="Y35" s="38"/>
      <c r="Z35" s="109"/>
      <c r="AA35" s="38"/>
      <c r="AB35" s="109"/>
      <c r="AC35" s="109"/>
      <c r="AD35" s="38"/>
      <c r="AE35" s="109"/>
      <c r="AF35" s="109"/>
      <c r="AG35" s="102" t="str">
        <f t="shared" si="13"/>
        <v/>
      </c>
      <c r="AH35" s="38"/>
      <c r="AI35" s="109"/>
      <c r="AJ35" s="38"/>
      <c r="AK35" s="109"/>
      <c r="AL35" s="38"/>
      <c r="AM35" s="102" t="str">
        <f t="shared" si="14"/>
        <v/>
      </c>
      <c r="AN35" s="107"/>
      <c r="AO35" s="108"/>
      <c r="AP35" s="102" t="str">
        <f t="shared" si="15"/>
        <v/>
      </c>
    </row>
    <row r="36" ht="19.5" customHeight="1">
      <c r="A36" s="106" t="str">
        <f>'1erTRIM'!A36</f>
        <v/>
      </c>
      <c r="B36" s="90" t="str">
        <f>'1erTRIM'!B36</f>
        <v/>
      </c>
      <c r="C36" s="110" t="str">
        <f>'1erTRIM'!C36</f>
        <v/>
      </c>
      <c r="D36" s="92" t="str">
        <f t="array" ref="D36">IFERROR(index(Grades, match($E36*100,GradeRange,-1), 1))</f>
        <v/>
      </c>
      <c r="E36" s="93">
        <f t="shared" si="10"/>
        <v>0</v>
      </c>
      <c r="F36" s="38"/>
      <c r="G36" s="109"/>
      <c r="H36" s="38"/>
      <c r="I36" s="109"/>
      <c r="J36" s="38"/>
      <c r="K36" s="102" t="str">
        <f t="shared" si="11"/>
        <v/>
      </c>
      <c r="L36" s="38"/>
      <c r="M36" s="109"/>
      <c r="N36" s="38"/>
      <c r="O36" s="109"/>
      <c r="P36" s="38"/>
      <c r="Q36" s="109"/>
      <c r="R36" s="109"/>
      <c r="S36" s="38"/>
      <c r="T36" s="109"/>
      <c r="U36" s="109"/>
      <c r="V36" s="102" t="str">
        <f t="shared" si="12"/>
        <v/>
      </c>
      <c r="W36" s="38"/>
      <c r="X36" s="109"/>
      <c r="Y36" s="38"/>
      <c r="Z36" s="109"/>
      <c r="AA36" s="38"/>
      <c r="AB36" s="109"/>
      <c r="AC36" s="109"/>
      <c r="AD36" s="38"/>
      <c r="AE36" s="109"/>
      <c r="AF36" s="109"/>
      <c r="AG36" s="102" t="str">
        <f t="shared" si="13"/>
        <v/>
      </c>
      <c r="AH36" s="38"/>
      <c r="AI36" s="109"/>
      <c r="AJ36" s="38"/>
      <c r="AK36" s="109"/>
      <c r="AL36" s="38"/>
      <c r="AM36" s="102" t="str">
        <f t="shared" si="14"/>
        <v/>
      </c>
      <c r="AN36" s="107"/>
      <c r="AO36" s="108"/>
      <c r="AP36" s="102" t="str">
        <f t="shared" si="15"/>
        <v/>
      </c>
    </row>
    <row r="37" ht="19.5" customHeight="1">
      <c r="A37" s="106" t="str">
        <f>'1erTRIM'!A37</f>
        <v/>
      </c>
      <c r="B37" s="90" t="str">
        <f>'1erTRIM'!B37</f>
        <v/>
      </c>
      <c r="C37" s="110" t="str">
        <f>'1erTRIM'!C37</f>
        <v/>
      </c>
      <c r="D37" s="92" t="str">
        <f t="array" ref="D37">IFERROR(index(Grades, match($E37*100,GradeRange,-1), 1))</f>
        <v/>
      </c>
      <c r="E37" s="93">
        <f t="shared" si="10"/>
        <v>0</v>
      </c>
      <c r="F37" s="38"/>
      <c r="G37" s="111"/>
      <c r="H37" s="38"/>
      <c r="I37" s="111"/>
      <c r="J37" s="38"/>
      <c r="K37" s="112" t="str">
        <f t="shared" si="11"/>
        <v/>
      </c>
      <c r="L37" s="38"/>
      <c r="M37" s="111"/>
      <c r="N37" s="38"/>
      <c r="O37" s="111"/>
      <c r="P37" s="38"/>
      <c r="Q37" s="111"/>
      <c r="R37" s="111"/>
      <c r="S37" s="38"/>
      <c r="T37" s="111"/>
      <c r="U37" s="111"/>
      <c r="V37" s="112" t="str">
        <f t="shared" si="12"/>
        <v/>
      </c>
      <c r="W37" s="38"/>
      <c r="X37" s="111"/>
      <c r="Y37" s="38"/>
      <c r="Z37" s="111"/>
      <c r="AA37" s="38"/>
      <c r="AB37" s="111"/>
      <c r="AC37" s="111"/>
      <c r="AD37" s="38"/>
      <c r="AE37" s="111"/>
      <c r="AF37" s="111"/>
      <c r="AG37" s="112" t="str">
        <f t="shared" si="13"/>
        <v/>
      </c>
      <c r="AH37" s="38"/>
      <c r="AI37" s="111"/>
      <c r="AJ37" s="38"/>
      <c r="AK37" s="111"/>
      <c r="AL37" s="38"/>
      <c r="AM37" s="112" t="str">
        <f t="shared" si="14"/>
        <v/>
      </c>
      <c r="AN37" s="113"/>
      <c r="AO37" s="114"/>
      <c r="AP37" s="112" t="str">
        <f t="shared" si="15"/>
        <v/>
      </c>
    </row>
    <row r="38" ht="17.25" customHeight="1">
      <c r="A38" s="115"/>
      <c r="B38" s="116"/>
      <c r="C38" s="117">
        <f>COUNTA(C8:C37)</f>
        <v>0</v>
      </c>
      <c r="D38" s="116"/>
      <c r="E38" s="118"/>
      <c r="F38" s="119">
        <f t="shared" ref="F38:AF38" si="16">IF(OR(COUNT(F8:F37)=$C$38,COUNT(F8:F37)=0),0,1)</f>
        <v>0</v>
      </c>
      <c r="G38" s="119">
        <f t="shared" si="16"/>
        <v>0</v>
      </c>
      <c r="H38" s="119">
        <f t="shared" si="16"/>
        <v>0</v>
      </c>
      <c r="I38" s="119">
        <f t="shared" si="16"/>
        <v>0</v>
      </c>
      <c r="J38" s="119">
        <f t="shared" si="16"/>
        <v>0</v>
      </c>
      <c r="K38" s="119">
        <f t="shared" si="16"/>
        <v>0</v>
      </c>
      <c r="L38" s="119">
        <f t="shared" si="16"/>
        <v>0</v>
      </c>
      <c r="M38" s="119">
        <f t="shared" si="16"/>
        <v>0</v>
      </c>
      <c r="N38" s="119">
        <f t="shared" si="16"/>
        <v>0</v>
      </c>
      <c r="O38" s="119">
        <f t="shared" si="16"/>
        <v>0</v>
      </c>
      <c r="P38" s="119">
        <f t="shared" si="16"/>
        <v>0</v>
      </c>
      <c r="Q38" s="119">
        <f t="shared" si="16"/>
        <v>0</v>
      </c>
      <c r="R38" s="119">
        <f t="shared" si="16"/>
        <v>0</v>
      </c>
      <c r="S38" s="119">
        <f t="shared" si="16"/>
        <v>0</v>
      </c>
      <c r="T38" s="119">
        <f t="shared" si="16"/>
        <v>0</v>
      </c>
      <c r="U38" s="119">
        <f t="shared" si="16"/>
        <v>0</v>
      </c>
      <c r="V38" s="119">
        <f t="shared" si="16"/>
        <v>0</v>
      </c>
      <c r="W38" s="119">
        <f t="shared" si="16"/>
        <v>0</v>
      </c>
      <c r="X38" s="119">
        <f t="shared" si="16"/>
        <v>0</v>
      </c>
      <c r="Y38" s="119">
        <f t="shared" si="16"/>
        <v>0</v>
      </c>
      <c r="Z38" s="119">
        <f t="shared" si="16"/>
        <v>0</v>
      </c>
      <c r="AA38" s="119">
        <f t="shared" si="16"/>
        <v>0</v>
      </c>
      <c r="AB38" s="119">
        <f t="shared" si="16"/>
        <v>0</v>
      </c>
      <c r="AC38" s="119">
        <f t="shared" si="16"/>
        <v>0</v>
      </c>
      <c r="AD38" s="119">
        <f t="shared" si="16"/>
        <v>0</v>
      </c>
      <c r="AE38" s="119">
        <f t="shared" si="16"/>
        <v>0</v>
      </c>
      <c r="AF38" s="119">
        <f t="shared" si="16"/>
        <v>0</v>
      </c>
      <c r="AG38" s="119"/>
      <c r="AH38" s="119">
        <f t="shared" ref="AH38:AL38" si="17">IF(OR(COUNT(AH8:AH37)=$C$38,COUNT(AH8:AH37)=0),0,1)</f>
        <v>0</v>
      </c>
      <c r="AI38" s="119">
        <f t="shared" si="17"/>
        <v>0</v>
      </c>
      <c r="AJ38" s="119">
        <f t="shared" si="17"/>
        <v>0</v>
      </c>
      <c r="AK38" s="119">
        <f t="shared" si="17"/>
        <v>0</v>
      </c>
      <c r="AL38" s="119">
        <f t="shared" si="17"/>
        <v>0</v>
      </c>
      <c r="AM38" s="119"/>
      <c r="AN38" s="119">
        <f t="shared" ref="AN38:AO38" si="18">IF(OR(COUNT(AN8:AN37)=$C$38,COUNT(AN8:AN37)=0),0,1)</f>
        <v>0</v>
      </c>
      <c r="AO38" s="119">
        <f t="shared" si="18"/>
        <v>0</v>
      </c>
      <c r="AP38" s="119">
        <f>SUM(F38:AO38)</f>
        <v>0</v>
      </c>
    </row>
    <row r="39" ht="17.25" customHeight="1">
      <c r="A39" s="120"/>
      <c r="B39" s="121" t="s">
        <v>39</v>
      </c>
      <c r="F39" s="122">
        <f t="shared" ref="F39:AP39" si="19">IFERROR(MEDIAN(F8:F37),0)</f>
        <v>0</v>
      </c>
      <c r="G39" s="122">
        <f t="shared" si="19"/>
        <v>0</v>
      </c>
      <c r="H39" s="122">
        <f t="shared" si="19"/>
        <v>0</v>
      </c>
      <c r="I39" s="122">
        <f t="shared" si="19"/>
        <v>0</v>
      </c>
      <c r="J39" s="122">
        <f t="shared" si="19"/>
        <v>0</v>
      </c>
      <c r="K39" s="122">
        <f t="shared" si="19"/>
        <v>0</v>
      </c>
      <c r="L39" s="122">
        <f t="shared" si="19"/>
        <v>0</v>
      </c>
      <c r="M39" s="122">
        <f t="shared" si="19"/>
        <v>0</v>
      </c>
      <c r="N39" s="122">
        <f t="shared" si="19"/>
        <v>0</v>
      </c>
      <c r="O39" s="122">
        <f t="shared" si="19"/>
        <v>0</v>
      </c>
      <c r="P39" s="122">
        <f t="shared" si="19"/>
        <v>0</v>
      </c>
      <c r="Q39" s="122">
        <f t="shared" si="19"/>
        <v>0</v>
      </c>
      <c r="R39" s="122">
        <f t="shared" si="19"/>
        <v>0</v>
      </c>
      <c r="S39" s="122">
        <f t="shared" si="19"/>
        <v>0</v>
      </c>
      <c r="T39" s="122">
        <f t="shared" si="19"/>
        <v>0</v>
      </c>
      <c r="U39" s="122">
        <f t="shared" si="19"/>
        <v>0</v>
      </c>
      <c r="V39" s="122">
        <f t="shared" si="19"/>
        <v>0</v>
      </c>
      <c r="W39" s="122">
        <f t="shared" si="19"/>
        <v>0</v>
      </c>
      <c r="X39" s="122">
        <f t="shared" si="19"/>
        <v>0</v>
      </c>
      <c r="Y39" s="122">
        <f t="shared" si="19"/>
        <v>0</v>
      </c>
      <c r="Z39" s="122">
        <f t="shared" si="19"/>
        <v>0</v>
      </c>
      <c r="AA39" s="122">
        <f t="shared" si="19"/>
        <v>0</v>
      </c>
      <c r="AB39" s="122">
        <f t="shared" si="19"/>
        <v>0</v>
      </c>
      <c r="AC39" s="122">
        <f t="shared" si="19"/>
        <v>0</v>
      </c>
      <c r="AD39" s="122">
        <f t="shared" si="19"/>
        <v>0</v>
      </c>
      <c r="AE39" s="122">
        <f t="shared" si="19"/>
        <v>0</v>
      </c>
      <c r="AF39" s="122">
        <f t="shared" si="19"/>
        <v>0</v>
      </c>
      <c r="AG39" s="122">
        <f t="shared" si="19"/>
        <v>0</v>
      </c>
      <c r="AH39" s="122">
        <f t="shared" si="19"/>
        <v>0</v>
      </c>
      <c r="AI39" s="122">
        <f t="shared" si="19"/>
        <v>0</v>
      </c>
      <c r="AJ39" s="122">
        <f t="shared" si="19"/>
        <v>0</v>
      </c>
      <c r="AK39" s="122">
        <f t="shared" si="19"/>
        <v>0</v>
      </c>
      <c r="AL39" s="122">
        <f t="shared" si="19"/>
        <v>0</v>
      </c>
      <c r="AM39" s="122">
        <f t="shared" si="19"/>
        <v>0</v>
      </c>
      <c r="AN39" s="122">
        <f t="shared" si="19"/>
        <v>0</v>
      </c>
      <c r="AO39" s="122">
        <f t="shared" si="19"/>
        <v>0</v>
      </c>
      <c r="AP39" s="122">
        <f t="shared" si="19"/>
        <v>0</v>
      </c>
    </row>
    <row r="40" ht="17.25" customHeight="1">
      <c r="A40" s="120"/>
      <c r="B40" s="123" t="s">
        <v>40</v>
      </c>
      <c r="F40" s="124">
        <f t="shared" ref="F40:AP40" si="20">MAX(F8:F37)</f>
        <v>0</v>
      </c>
      <c r="G40" s="124">
        <f t="shared" si="20"/>
        <v>0</v>
      </c>
      <c r="H40" s="124">
        <f t="shared" si="20"/>
        <v>0</v>
      </c>
      <c r="I40" s="124">
        <f t="shared" si="20"/>
        <v>0</v>
      </c>
      <c r="J40" s="124">
        <f t="shared" si="20"/>
        <v>0</v>
      </c>
      <c r="K40" s="124">
        <f t="shared" si="20"/>
        <v>0</v>
      </c>
      <c r="L40" s="124">
        <f t="shared" si="20"/>
        <v>0</v>
      </c>
      <c r="M40" s="124">
        <f t="shared" si="20"/>
        <v>0</v>
      </c>
      <c r="N40" s="124">
        <f t="shared" si="20"/>
        <v>0</v>
      </c>
      <c r="O40" s="124">
        <f t="shared" si="20"/>
        <v>0</v>
      </c>
      <c r="P40" s="124">
        <f t="shared" si="20"/>
        <v>0</v>
      </c>
      <c r="Q40" s="124">
        <f t="shared" si="20"/>
        <v>0</v>
      </c>
      <c r="R40" s="124">
        <f t="shared" si="20"/>
        <v>0</v>
      </c>
      <c r="S40" s="124">
        <f t="shared" si="20"/>
        <v>0</v>
      </c>
      <c r="T40" s="124">
        <f t="shared" si="20"/>
        <v>0</v>
      </c>
      <c r="U40" s="124">
        <f t="shared" si="20"/>
        <v>0</v>
      </c>
      <c r="V40" s="124">
        <f t="shared" si="20"/>
        <v>0</v>
      </c>
      <c r="W40" s="124">
        <f t="shared" si="20"/>
        <v>0</v>
      </c>
      <c r="X40" s="124">
        <f t="shared" si="20"/>
        <v>0</v>
      </c>
      <c r="Y40" s="124">
        <f t="shared" si="20"/>
        <v>0</v>
      </c>
      <c r="Z40" s="124">
        <f t="shared" si="20"/>
        <v>0</v>
      </c>
      <c r="AA40" s="124">
        <f t="shared" si="20"/>
        <v>0</v>
      </c>
      <c r="AB40" s="124">
        <f t="shared" si="20"/>
        <v>0</v>
      </c>
      <c r="AC40" s="124">
        <f t="shared" si="20"/>
        <v>0</v>
      </c>
      <c r="AD40" s="124">
        <f t="shared" si="20"/>
        <v>0</v>
      </c>
      <c r="AE40" s="124">
        <f t="shared" si="20"/>
        <v>0</v>
      </c>
      <c r="AF40" s="124">
        <f t="shared" si="20"/>
        <v>0</v>
      </c>
      <c r="AG40" s="124">
        <f t="shared" si="20"/>
        <v>0</v>
      </c>
      <c r="AH40" s="124">
        <f t="shared" si="20"/>
        <v>0</v>
      </c>
      <c r="AI40" s="124">
        <f t="shared" si="20"/>
        <v>0</v>
      </c>
      <c r="AJ40" s="124">
        <f t="shared" si="20"/>
        <v>0</v>
      </c>
      <c r="AK40" s="124">
        <f t="shared" si="20"/>
        <v>0</v>
      </c>
      <c r="AL40" s="124">
        <f t="shared" si="20"/>
        <v>0</v>
      </c>
      <c r="AM40" s="124">
        <f t="shared" si="20"/>
        <v>0</v>
      </c>
      <c r="AN40" s="124">
        <f t="shared" si="20"/>
        <v>0</v>
      </c>
      <c r="AO40" s="124">
        <f t="shared" si="20"/>
        <v>0</v>
      </c>
      <c r="AP40" s="124">
        <f t="shared" si="20"/>
        <v>0</v>
      </c>
    </row>
    <row r="41" ht="17.25" customHeight="1">
      <c r="A41" s="125">
        <v>3.0</v>
      </c>
      <c r="B41" s="121" t="s">
        <v>41</v>
      </c>
      <c r="F41" s="122">
        <f t="shared" ref="F41:AP41" si="21">MIN(F9:F37)</f>
        <v>0</v>
      </c>
      <c r="G41" s="122">
        <f t="shared" si="21"/>
        <v>0</v>
      </c>
      <c r="H41" s="122">
        <f t="shared" si="21"/>
        <v>0</v>
      </c>
      <c r="I41" s="122">
        <f t="shared" si="21"/>
        <v>0</v>
      </c>
      <c r="J41" s="122">
        <f t="shared" si="21"/>
        <v>0</v>
      </c>
      <c r="K41" s="122">
        <f t="shared" si="21"/>
        <v>0</v>
      </c>
      <c r="L41" s="122">
        <f t="shared" si="21"/>
        <v>0</v>
      </c>
      <c r="M41" s="122">
        <f t="shared" si="21"/>
        <v>0</v>
      </c>
      <c r="N41" s="122">
        <f t="shared" si="21"/>
        <v>0</v>
      </c>
      <c r="O41" s="122">
        <f t="shared" si="21"/>
        <v>0</v>
      </c>
      <c r="P41" s="122">
        <f t="shared" si="21"/>
        <v>0</v>
      </c>
      <c r="Q41" s="122">
        <f t="shared" si="21"/>
        <v>0</v>
      </c>
      <c r="R41" s="122">
        <f t="shared" si="21"/>
        <v>0</v>
      </c>
      <c r="S41" s="122">
        <f t="shared" si="21"/>
        <v>0</v>
      </c>
      <c r="T41" s="122">
        <f t="shared" si="21"/>
        <v>0</v>
      </c>
      <c r="U41" s="122">
        <f t="shared" si="21"/>
        <v>0</v>
      </c>
      <c r="V41" s="122">
        <f t="shared" si="21"/>
        <v>0</v>
      </c>
      <c r="W41" s="122">
        <f t="shared" si="21"/>
        <v>0</v>
      </c>
      <c r="X41" s="122">
        <f t="shared" si="21"/>
        <v>0</v>
      </c>
      <c r="Y41" s="122">
        <f t="shared" si="21"/>
        <v>0</v>
      </c>
      <c r="Z41" s="122">
        <f t="shared" si="21"/>
        <v>0</v>
      </c>
      <c r="AA41" s="122">
        <f t="shared" si="21"/>
        <v>0</v>
      </c>
      <c r="AB41" s="122">
        <f t="shared" si="21"/>
        <v>0</v>
      </c>
      <c r="AC41" s="122">
        <f t="shared" si="21"/>
        <v>0</v>
      </c>
      <c r="AD41" s="122">
        <f t="shared" si="21"/>
        <v>0</v>
      </c>
      <c r="AE41" s="122">
        <f t="shared" si="21"/>
        <v>0</v>
      </c>
      <c r="AF41" s="122">
        <f t="shared" si="21"/>
        <v>0</v>
      </c>
      <c r="AG41" s="122">
        <f t="shared" si="21"/>
        <v>0</v>
      </c>
      <c r="AH41" s="122">
        <f t="shared" si="21"/>
        <v>0</v>
      </c>
      <c r="AI41" s="122">
        <f t="shared" si="21"/>
        <v>0</v>
      </c>
      <c r="AJ41" s="122">
        <f t="shared" si="21"/>
        <v>0</v>
      </c>
      <c r="AK41" s="122">
        <f t="shared" si="21"/>
        <v>0</v>
      </c>
      <c r="AL41" s="122">
        <f t="shared" si="21"/>
        <v>0</v>
      </c>
      <c r="AM41" s="122">
        <f t="shared" si="21"/>
        <v>0</v>
      </c>
      <c r="AN41" s="122">
        <f t="shared" si="21"/>
        <v>0</v>
      </c>
      <c r="AO41" s="122">
        <f t="shared" si="21"/>
        <v>0</v>
      </c>
      <c r="AP41" s="122">
        <f t="shared" si="21"/>
        <v>0</v>
      </c>
    </row>
  </sheetData>
  <mergeCells count="12">
    <mergeCell ref="B3:D3"/>
    <mergeCell ref="B4:D4"/>
    <mergeCell ref="B39:E39"/>
    <mergeCell ref="B40:E40"/>
    <mergeCell ref="B41:E41"/>
    <mergeCell ref="F1:K1"/>
    <mergeCell ref="L1:V1"/>
    <mergeCell ref="W1:AG1"/>
    <mergeCell ref="AH1:AM1"/>
    <mergeCell ref="AN1:AO1"/>
    <mergeCell ref="AN3:AO3"/>
    <mergeCell ref="AP3:AP5"/>
  </mergeCells>
  <conditionalFormatting sqref="A8:AP37">
    <cfRule type="expression" dxfId="0" priority="1">
      <formula>iseven(row())</formula>
    </cfRule>
  </conditionalFormatting>
  <dataValidations>
    <dataValidation type="decimal" allowBlank="1" showDropDown="1" showInputMessage="1" showErrorMessage="1" prompt="Introduce un número. entre 0 y 100" sqref="F8:AP37">
      <formula1>0.0</formula1>
      <formula2>100.0</formula2>
    </dataValidation>
  </dataValidation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5.0" ySplit="4.0" topLeftCell="F5" activePane="bottomRight" state="frozen"/>
      <selection activeCell="F1" sqref="F1" pane="topRight"/>
      <selection activeCell="A5" sqref="A5" pane="bottomLeft"/>
      <selection activeCell="F5" sqref="F5" pane="bottomRight"/>
    </sheetView>
  </sheetViews>
  <sheetFormatPr customHeight="1" defaultColWidth="14.43" defaultRowHeight="15.75"/>
  <cols>
    <col customWidth="1" min="1" max="1" width="0.43"/>
    <col customWidth="1" min="2" max="2" width="3.86"/>
    <col customWidth="1" min="3" max="3" width="38.43"/>
    <col customWidth="1" min="4" max="5" width="6.57"/>
    <col customWidth="1" min="6" max="6" width="12.86"/>
    <col customWidth="1" min="7" max="7" width="13.29"/>
    <col customWidth="1" min="8" max="8" width="13.0"/>
    <col customWidth="1" min="9" max="9" width="10.71"/>
    <col customWidth="1" min="10" max="10" width="23.43"/>
  </cols>
  <sheetData>
    <row r="1" ht="63.75" customHeight="1">
      <c r="A1" s="44"/>
      <c r="B1" s="45" t="str">
        <f>General!B1</f>
        <v/>
      </c>
      <c r="F1" s="45" t="s">
        <v>46</v>
      </c>
    </row>
    <row r="2" ht="4.5" customHeight="1">
      <c r="A2" s="127"/>
      <c r="B2" s="128" t="str">
        <f>General!B2</f>
        <v/>
      </c>
      <c r="F2" s="129"/>
      <c r="G2" s="129"/>
      <c r="H2" s="129"/>
      <c r="I2" s="59" t="s">
        <v>47</v>
      </c>
      <c r="J2" s="59"/>
    </row>
    <row r="3" ht="39.75" customHeight="1">
      <c r="A3" s="127"/>
      <c r="F3" s="56" t="s">
        <v>48</v>
      </c>
      <c r="G3" s="56" t="s">
        <v>49</v>
      </c>
      <c r="H3" s="56" t="s">
        <v>50</v>
      </c>
      <c r="J3" s="59" t="s">
        <v>51</v>
      </c>
    </row>
    <row r="4" ht="3.75" customHeight="1">
      <c r="A4" s="67"/>
      <c r="B4" s="68"/>
      <c r="C4" s="69"/>
      <c r="D4" s="70"/>
      <c r="E4" s="68"/>
      <c r="F4" s="73"/>
      <c r="G4" s="73"/>
      <c r="H4" s="73"/>
      <c r="I4" s="73"/>
      <c r="J4" s="73"/>
    </row>
    <row r="5" ht="18.0" hidden="1" customHeight="1">
      <c r="A5" s="77"/>
      <c r="B5" s="77"/>
      <c r="C5" s="78"/>
      <c r="D5" s="79" t="s">
        <v>37</v>
      </c>
      <c r="E5" s="80">
        <f>if(sumifs(F4:H4,F6:H6,"&gt;=0")=0,1,sumifs(F4:H4,F6:H6,"&gt;=0"))</f>
        <v>1</v>
      </c>
      <c r="F5" s="81"/>
      <c r="G5" s="81"/>
      <c r="H5" s="81"/>
      <c r="I5" s="81"/>
      <c r="J5" s="81"/>
    </row>
    <row r="6" ht="22.5" customHeight="1">
      <c r="A6" s="82"/>
      <c r="B6" s="82"/>
      <c r="C6" s="83" t="s">
        <v>52</v>
      </c>
      <c r="D6" s="84" t="str">
        <f t="array" ref="D6">IFERROR(index(Grades, match($E6*100,GradeRange,-1), 1))</f>
        <v/>
      </c>
      <c r="E6" s="85">
        <f t="shared" ref="E6:E36" si="2">IFERROR(I6/100)</f>
        <v>0</v>
      </c>
      <c r="F6" s="126" t="str">
        <f t="shared" ref="F6:I6" si="1">IFERROR(AVERAGE(F7:F36),"")</f>
        <v/>
      </c>
      <c r="G6" s="126" t="str">
        <f t="shared" si="1"/>
        <v/>
      </c>
      <c r="H6" s="126" t="str">
        <f t="shared" si="1"/>
        <v/>
      </c>
      <c r="I6" s="126" t="str">
        <f t="shared" si="1"/>
        <v/>
      </c>
      <c r="J6" s="88"/>
    </row>
    <row r="7" ht="19.5" customHeight="1">
      <c r="A7" s="89" t="str">
        <f>'1erTRIM'!A8</f>
        <v/>
      </c>
      <c r="B7" s="130" t="str">
        <f>'1erTRIM'!B8</f>
        <v/>
      </c>
      <c r="C7" s="131" t="str">
        <f>'1erTRIM'!C8</f>
        <v/>
      </c>
      <c r="D7" s="92" t="str">
        <f t="array" ref="D7">IFERROR(index(Grades, match($E7*100,GradeRange,-1), 1))</f>
        <v/>
      </c>
      <c r="E7" s="93">
        <f t="shared" si="2"/>
        <v>0</v>
      </c>
      <c r="F7" s="132" t="str">
        <f>'1erTRIM'!AP8</f>
        <v/>
      </c>
      <c r="G7" s="133" t="str">
        <f>'2doTRIM'!AP8</f>
        <v/>
      </c>
      <c r="H7" s="132" t="str">
        <f>'3erTRIM'!AP8</f>
        <v/>
      </c>
      <c r="I7" s="134" t="str">
        <f t="shared" ref="I7:I36" si="3">IF(F7="","", SUM(F7:H7)/3)</f>
        <v/>
      </c>
      <c r="J7" s="132" t="str">
        <f t="shared" ref="J7:J36" si="4">IF(I7="","",IF(I7&lt;51,"REPROBADO","APROBADO"))</f>
        <v/>
      </c>
    </row>
    <row r="8" ht="19.5" customHeight="1">
      <c r="A8" s="89" t="str">
        <f>'1erTRIM'!A9</f>
        <v/>
      </c>
      <c r="B8" s="130" t="str">
        <f>'1erTRIM'!B9</f>
        <v/>
      </c>
      <c r="C8" s="131" t="str">
        <f>'1erTRIM'!C9</f>
        <v/>
      </c>
      <c r="D8" s="92" t="str">
        <f t="array" ref="D8">IFERROR(index(Grades, match($E8*100,GradeRange,-1), 1))</f>
        <v/>
      </c>
      <c r="E8" s="93">
        <f t="shared" si="2"/>
        <v>0</v>
      </c>
      <c r="F8" s="132" t="str">
        <f>'1erTRIM'!AP9</f>
        <v/>
      </c>
      <c r="G8" s="135" t="str">
        <f>'2doTRIM'!AP9</f>
        <v/>
      </c>
      <c r="H8" s="132" t="str">
        <f>'3erTRIM'!AP9</f>
        <v/>
      </c>
      <c r="I8" s="136" t="str">
        <f t="shared" si="3"/>
        <v/>
      </c>
      <c r="J8" s="132" t="str">
        <f t="shared" si="4"/>
        <v/>
      </c>
    </row>
    <row r="9" ht="19.5" customHeight="1">
      <c r="A9" s="89" t="str">
        <f>'1erTRIM'!A10</f>
        <v/>
      </c>
      <c r="B9" s="130" t="str">
        <f>'1erTRIM'!B10</f>
        <v/>
      </c>
      <c r="C9" s="131" t="str">
        <f>'1erTRIM'!C10</f>
        <v/>
      </c>
      <c r="D9" s="92" t="str">
        <f t="array" ref="D9">IFERROR(index(Grades, match($E9*100,GradeRange,-1), 1))</f>
        <v/>
      </c>
      <c r="E9" s="93">
        <f t="shared" si="2"/>
        <v>0</v>
      </c>
      <c r="F9" s="132" t="str">
        <f>'1erTRIM'!AP10</f>
        <v/>
      </c>
      <c r="G9" s="135" t="str">
        <f>'2doTRIM'!AP10</f>
        <v/>
      </c>
      <c r="H9" s="132" t="str">
        <f>'3erTRIM'!AP10</f>
        <v/>
      </c>
      <c r="I9" s="136" t="str">
        <f t="shared" si="3"/>
        <v/>
      </c>
      <c r="J9" s="132" t="str">
        <f t="shared" si="4"/>
        <v/>
      </c>
    </row>
    <row r="10" ht="19.5" customHeight="1">
      <c r="A10" s="89" t="str">
        <f>'1erTRIM'!A11</f>
        <v/>
      </c>
      <c r="B10" s="130" t="str">
        <f>'1erTRIM'!B11</f>
        <v/>
      </c>
      <c r="C10" s="131" t="str">
        <f>'1erTRIM'!C11</f>
        <v/>
      </c>
      <c r="D10" s="92" t="str">
        <f t="array" ref="D10">IFERROR(index(Grades, match($E10*100,GradeRange,-1), 1))</f>
        <v/>
      </c>
      <c r="E10" s="93">
        <f t="shared" si="2"/>
        <v>0</v>
      </c>
      <c r="F10" s="132" t="str">
        <f>'1erTRIM'!AP11</f>
        <v/>
      </c>
      <c r="G10" s="135" t="str">
        <f>'2doTRIM'!AP11</f>
        <v/>
      </c>
      <c r="H10" s="132" t="str">
        <f>'3erTRIM'!AP11</f>
        <v/>
      </c>
      <c r="I10" s="136" t="str">
        <f t="shared" si="3"/>
        <v/>
      </c>
      <c r="J10" s="132" t="str">
        <f t="shared" si="4"/>
        <v/>
      </c>
    </row>
    <row r="11" ht="19.5" customHeight="1">
      <c r="A11" s="89" t="str">
        <f>'1erTRIM'!A12</f>
        <v/>
      </c>
      <c r="B11" s="130" t="str">
        <f>'1erTRIM'!B12</f>
        <v/>
      </c>
      <c r="C11" s="131" t="str">
        <f>'1erTRIM'!C12</f>
        <v/>
      </c>
      <c r="D11" s="92" t="str">
        <f t="array" ref="D11">IFERROR(index(Grades, match($E11*100,GradeRange,-1), 1))</f>
        <v/>
      </c>
      <c r="E11" s="93">
        <f t="shared" si="2"/>
        <v>0</v>
      </c>
      <c r="F11" s="132" t="str">
        <f>'1erTRIM'!AP12</f>
        <v/>
      </c>
      <c r="G11" s="135" t="str">
        <f>'2doTRIM'!AP12</f>
        <v/>
      </c>
      <c r="H11" s="132" t="str">
        <f>'3erTRIM'!AP12</f>
        <v/>
      </c>
      <c r="I11" s="136" t="str">
        <f t="shared" si="3"/>
        <v/>
      </c>
      <c r="J11" s="132" t="str">
        <f t="shared" si="4"/>
        <v/>
      </c>
    </row>
    <row r="12" ht="19.5" customHeight="1">
      <c r="A12" s="89" t="str">
        <f>'1erTRIM'!A13</f>
        <v/>
      </c>
      <c r="B12" s="130" t="str">
        <f>'1erTRIM'!B13</f>
        <v/>
      </c>
      <c r="C12" s="131" t="str">
        <f>'1erTRIM'!C13</f>
        <v/>
      </c>
      <c r="D12" s="92" t="str">
        <f t="array" ref="D12">IFERROR(index(Grades, match($E12*100,GradeRange,-1), 1))</f>
        <v/>
      </c>
      <c r="E12" s="93">
        <f t="shared" si="2"/>
        <v>0</v>
      </c>
      <c r="F12" s="132" t="str">
        <f>'1erTRIM'!AP13</f>
        <v/>
      </c>
      <c r="G12" s="135" t="str">
        <f>'2doTRIM'!AP13</f>
        <v/>
      </c>
      <c r="H12" s="132" t="str">
        <f>'3erTRIM'!AP13</f>
        <v/>
      </c>
      <c r="I12" s="136" t="str">
        <f t="shared" si="3"/>
        <v/>
      </c>
      <c r="J12" s="132" t="str">
        <f t="shared" si="4"/>
        <v/>
      </c>
    </row>
    <row r="13" ht="19.5" customHeight="1">
      <c r="A13" s="89" t="str">
        <f>'1erTRIM'!A14</f>
        <v/>
      </c>
      <c r="B13" s="130" t="str">
        <f>'1erTRIM'!B14</f>
        <v/>
      </c>
      <c r="C13" s="131" t="str">
        <f>'1erTRIM'!C14</f>
        <v/>
      </c>
      <c r="D13" s="92" t="str">
        <f t="array" ref="D13">IFERROR(index(Grades, match($E13*100,GradeRange,-1), 1))</f>
        <v/>
      </c>
      <c r="E13" s="93">
        <f t="shared" si="2"/>
        <v>0</v>
      </c>
      <c r="F13" s="132" t="str">
        <f>'1erTRIM'!AP14</f>
        <v/>
      </c>
      <c r="G13" s="135" t="str">
        <f>'2doTRIM'!AP14</f>
        <v/>
      </c>
      <c r="H13" s="132" t="str">
        <f>'3erTRIM'!AP14</f>
        <v/>
      </c>
      <c r="I13" s="136" t="str">
        <f t="shared" si="3"/>
        <v/>
      </c>
      <c r="J13" s="132" t="str">
        <f t="shared" si="4"/>
        <v/>
      </c>
    </row>
    <row r="14" ht="19.5" customHeight="1">
      <c r="A14" s="89" t="str">
        <f>'1erTRIM'!A15</f>
        <v/>
      </c>
      <c r="B14" s="130" t="str">
        <f>'1erTRIM'!B15</f>
        <v/>
      </c>
      <c r="C14" s="131" t="str">
        <f>'1erTRIM'!C15</f>
        <v/>
      </c>
      <c r="D14" s="92" t="str">
        <f t="array" ref="D14">IFERROR(index(Grades, match($E14*100,GradeRange,-1), 1))</f>
        <v/>
      </c>
      <c r="E14" s="93">
        <f t="shared" si="2"/>
        <v>0</v>
      </c>
      <c r="F14" s="132" t="str">
        <f>'1erTRIM'!AP15</f>
        <v/>
      </c>
      <c r="G14" s="135" t="str">
        <f>'2doTRIM'!AP15</f>
        <v/>
      </c>
      <c r="H14" s="132" t="str">
        <f>'3erTRIM'!AP15</f>
        <v/>
      </c>
      <c r="I14" s="136" t="str">
        <f t="shared" si="3"/>
        <v/>
      </c>
      <c r="J14" s="132" t="str">
        <f t="shared" si="4"/>
        <v/>
      </c>
    </row>
    <row r="15" ht="19.5" customHeight="1">
      <c r="A15" s="89" t="str">
        <f>'1erTRIM'!A16</f>
        <v/>
      </c>
      <c r="B15" s="130" t="str">
        <f>'1erTRIM'!B16</f>
        <v/>
      </c>
      <c r="C15" s="131" t="str">
        <f>'1erTRIM'!C16</f>
        <v/>
      </c>
      <c r="D15" s="92" t="str">
        <f t="array" ref="D15">IFERROR(index(Grades, match($E15*100,GradeRange,-1), 1))</f>
        <v/>
      </c>
      <c r="E15" s="93">
        <f t="shared" si="2"/>
        <v>0</v>
      </c>
      <c r="F15" s="132" t="str">
        <f>'1erTRIM'!AP16</f>
        <v/>
      </c>
      <c r="G15" s="135" t="str">
        <f>'2doTRIM'!AP16</f>
        <v/>
      </c>
      <c r="H15" s="132" t="str">
        <f>'3erTRIM'!AP16</f>
        <v/>
      </c>
      <c r="I15" s="136" t="str">
        <f t="shared" si="3"/>
        <v/>
      </c>
      <c r="J15" s="132" t="str">
        <f t="shared" si="4"/>
        <v/>
      </c>
    </row>
    <row r="16" ht="19.5" customHeight="1">
      <c r="A16" s="89" t="str">
        <f>'1erTRIM'!A17</f>
        <v/>
      </c>
      <c r="B16" s="130" t="str">
        <f>'1erTRIM'!B17</f>
        <v/>
      </c>
      <c r="C16" s="131" t="str">
        <f>'1erTRIM'!C17</f>
        <v/>
      </c>
      <c r="D16" s="92" t="str">
        <f t="array" ref="D16">IFERROR(index(Grades, match($E16*100,GradeRange,-1), 1))</f>
        <v/>
      </c>
      <c r="E16" s="93">
        <f t="shared" si="2"/>
        <v>0</v>
      </c>
      <c r="F16" s="132" t="str">
        <f>'1erTRIM'!AP17</f>
        <v/>
      </c>
      <c r="G16" s="135" t="str">
        <f>'2doTRIM'!AP17</f>
        <v/>
      </c>
      <c r="H16" s="132" t="str">
        <f>'3erTRIM'!AP17</f>
        <v/>
      </c>
      <c r="I16" s="136" t="str">
        <f t="shared" si="3"/>
        <v/>
      </c>
      <c r="J16" s="132" t="str">
        <f t="shared" si="4"/>
        <v/>
      </c>
    </row>
    <row r="17" ht="19.5" customHeight="1">
      <c r="A17" s="89" t="str">
        <f>'1erTRIM'!A18</f>
        <v/>
      </c>
      <c r="B17" s="130" t="str">
        <f>'1erTRIM'!B18</f>
        <v/>
      </c>
      <c r="C17" s="131" t="str">
        <f>'1erTRIM'!C18</f>
        <v/>
      </c>
      <c r="D17" s="92" t="str">
        <f t="array" ref="D17">IFERROR(index(Grades, match($E17*100,GradeRange,-1), 1))</f>
        <v/>
      </c>
      <c r="E17" s="93">
        <f t="shared" si="2"/>
        <v>0</v>
      </c>
      <c r="F17" s="132" t="str">
        <f>'1erTRIM'!AP18</f>
        <v/>
      </c>
      <c r="G17" s="135" t="str">
        <f>'2doTRIM'!AP18</f>
        <v/>
      </c>
      <c r="H17" s="132" t="str">
        <f>'3erTRIM'!AP18</f>
        <v/>
      </c>
      <c r="I17" s="136" t="str">
        <f t="shared" si="3"/>
        <v/>
      </c>
      <c r="J17" s="132" t="str">
        <f t="shared" si="4"/>
        <v/>
      </c>
    </row>
    <row r="18" ht="19.5" customHeight="1">
      <c r="A18" s="89" t="str">
        <f>'1erTRIM'!A19</f>
        <v/>
      </c>
      <c r="B18" s="130" t="str">
        <f>'1erTRIM'!B19</f>
        <v/>
      </c>
      <c r="C18" s="131" t="str">
        <f>'1erTRIM'!C19</f>
        <v/>
      </c>
      <c r="D18" s="92" t="str">
        <f t="array" ref="D18">IFERROR(index(Grades, match($E18*100,GradeRange,-1), 1))</f>
        <v/>
      </c>
      <c r="E18" s="93">
        <f t="shared" si="2"/>
        <v>0</v>
      </c>
      <c r="F18" s="132" t="str">
        <f>'1erTRIM'!AP19</f>
        <v/>
      </c>
      <c r="G18" s="135" t="str">
        <f>'2doTRIM'!AP19</f>
        <v/>
      </c>
      <c r="H18" s="132" t="str">
        <f>'3erTRIM'!AP19</f>
        <v/>
      </c>
      <c r="I18" s="136" t="str">
        <f t="shared" si="3"/>
        <v/>
      </c>
      <c r="J18" s="132" t="str">
        <f t="shared" si="4"/>
        <v/>
      </c>
    </row>
    <row r="19" ht="19.5" customHeight="1">
      <c r="A19" s="89" t="str">
        <f>'1erTRIM'!A20</f>
        <v/>
      </c>
      <c r="B19" s="130" t="str">
        <f>'1erTRIM'!B20</f>
        <v/>
      </c>
      <c r="C19" s="131" t="str">
        <f>'1erTRIM'!C20</f>
        <v/>
      </c>
      <c r="D19" s="92" t="str">
        <f t="array" ref="D19">IFERROR(index(Grades, match($E19*100,GradeRange,-1), 1))</f>
        <v/>
      </c>
      <c r="E19" s="93">
        <f t="shared" si="2"/>
        <v>0</v>
      </c>
      <c r="F19" s="132" t="str">
        <f>'1erTRIM'!AP20</f>
        <v/>
      </c>
      <c r="G19" s="135" t="str">
        <f>'2doTRIM'!AP20</f>
        <v/>
      </c>
      <c r="H19" s="132" t="str">
        <f>'3erTRIM'!AP20</f>
        <v/>
      </c>
      <c r="I19" s="136" t="str">
        <f t="shared" si="3"/>
        <v/>
      </c>
      <c r="J19" s="132" t="str">
        <f t="shared" si="4"/>
        <v/>
      </c>
    </row>
    <row r="20" ht="19.5" customHeight="1">
      <c r="A20" s="89" t="str">
        <f>'1erTRIM'!A21</f>
        <v/>
      </c>
      <c r="B20" s="130" t="str">
        <f>'1erTRIM'!B21</f>
        <v/>
      </c>
      <c r="C20" s="131" t="str">
        <f>'1erTRIM'!C21</f>
        <v/>
      </c>
      <c r="D20" s="92" t="str">
        <f t="array" ref="D20">IFERROR(index(Grades, match($E20*100,GradeRange,-1), 1))</f>
        <v/>
      </c>
      <c r="E20" s="93">
        <f t="shared" si="2"/>
        <v>0</v>
      </c>
      <c r="F20" s="132" t="str">
        <f>'1erTRIM'!AP21</f>
        <v/>
      </c>
      <c r="G20" s="135" t="str">
        <f>'2doTRIM'!AP21</f>
        <v/>
      </c>
      <c r="H20" s="132" t="str">
        <f>'3erTRIM'!AP21</f>
        <v/>
      </c>
      <c r="I20" s="136" t="str">
        <f t="shared" si="3"/>
        <v/>
      </c>
      <c r="J20" s="132" t="str">
        <f t="shared" si="4"/>
        <v/>
      </c>
    </row>
    <row r="21" ht="19.5" customHeight="1">
      <c r="A21" s="89" t="str">
        <f>'1erTRIM'!A22</f>
        <v/>
      </c>
      <c r="B21" s="130" t="str">
        <f>'1erTRIM'!B22</f>
        <v/>
      </c>
      <c r="C21" s="131" t="str">
        <f>'1erTRIM'!C22</f>
        <v/>
      </c>
      <c r="D21" s="92" t="str">
        <f t="array" ref="D21">IFERROR(index(Grades, match($E21*100,GradeRange,-1), 1))</f>
        <v/>
      </c>
      <c r="E21" s="93">
        <f t="shared" si="2"/>
        <v>0</v>
      </c>
      <c r="F21" s="132" t="str">
        <f>'1erTRIM'!AP22</f>
        <v/>
      </c>
      <c r="G21" s="135" t="str">
        <f>'2doTRIM'!AP22</f>
        <v/>
      </c>
      <c r="H21" s="132" t="str">
        <f>'3erTRIM'!AP22</f>
        <v/>
      </c>
      <c r="I21" s="136" t="str">
        <f t="shared" si="3"/>
        <v/>
      </c>
      <c r="J21" s="132" t="str">
        <f t="shared" si="4"/>
        <v/>
      </c>
    </row>
    <row r="22" ht="19.5" customHeight="1">
      <c r="A22" s="89" t="str">
        <f>'1erTRIM'!A23</f>
        <v/>
      </c>
      <c r="B22" s="130" t="str">
        <f>'1erTRIM'!B23</f>
        <v/>
      </c>
      <c r="C22" s="131" t="str">
        <f>'1erTRIM'!C23</f>
        <v/>
      </c>
      <c r="D22" s="92" t="str">
        <f t="array" ref="D22">IFERROR(index(Grades, match($E22*100,GradeRange,-1), 1))</f>
        <v/>
      </c>
      <c r="E22" s="93">
        <f t="shared" si="2"/>
        <v>0</v>
      </c>
      <c r="F22" s="132" t="str">
        <f>'1erTRIM'!AP23</f>
        <v/>
      </c>
      <c r="G22" s="135" t="str">
        <f>'2doTRIM'!AP23</f>
        <v/>
      </c>
      <c r="H22" s="132" t="str">
        <f>'3erTRIM'!AP23</f>
        <v/>
      </c>
      <c r="I22" s="136" t="str">
        <f t="shared" si="3"/>
        <v/>
      </c>
      <c r="J22" s="132" t="str">
        <f t="shared" si="4"/>
        <v/>
      </c>
    </row>
    <row r="23" ht="19.5" customHeight="1">
      <c r="A23" s="89" t="str">
        <f>'1erTRIM'!A24</f>
        <v/>
      </c>
      <c r="B23" s="130" t="str">
        <f>'1erTRIM'!B24</f>
        <v/>
      </c>
      <c r="C23" s="131" t="str">
        <f>'1erTRIM'!C24</f>
        <v/>
      </c>
      <c r="D23" s="92" t="str">
        <f t="array" ref="D23">IFERROR(index(Grades, match($E23*100,GradeRange,-1), 1))</f>
        <v/>
      </c>
      <c r="E23" s="93">
        <f t="shared" si="2"/>
        <v>0</v>
      </c>
      <c r="F23" s="132" t="str">
        <f>'1erTRIM'!AP24</f>
        <v/>
      </c>
      <c r="G23" s="135" t="str">
        <f>'2doTRIM'!AP24</f>
        <v/>
      </c>
      <c r="H23" s="132" t="str">
        <f>'3erTRIM'!AP24</f>
        <v/>
      </c>
      <c r="I23" s="136" t="str">
        <f t="shared" si="3"/>
        <v/>
      </c>
      <c r="J23" s="132" t="str">
        <f t="shared" si="4"/>
        <v/>
      </c>
    </row>
    <row r="24" ht="19.5" customHeight="1">
      <c r="A24" s="89" t="str">
        <f>'1erTRIM'!A25</f>
        <v/>
      </c>
      <c r="B24" s="130" t="str">
        <f>'1erTRIM'!B25</f>
        <v/>
      </c>
      <c r="C24" s="131" t="str">
        <f>'1erTRIM'!C25</f>
        <v/>
      </c>
      <c r="D24" s="92" t="str">
        <f t="array" ref="D24">IFERROR(index(Grades, match($E24*100,GradeRange,-1), 1))</f>
        <v/>
      </c>
      <c r="E24" s="93">
        <f t="shared" si="2"/>
        <v>0</v>
      </c>
      <c r="F24" s="132" t="str">
        <f>'1erTRIM'!AP25</f>
        <v/>
      </c>
      <c r="G24" s="135" t="str">
        <f>'2doTRIM'!AP25</f>
        <v/>
      </c>
      <c r="H24" s="132" t="str">
        <f>'3erTRIM'!AP25</f>
        <v/>
      </c>
      <c r="I24" s="136" t="str">
        <f t="shared" si="3"/>
        <v/>
      </c>
      <c r="J24" s="132" t="str">
        <f t="shared" si="4"/>
        <v/>
      </c>
    </row>
    <row r="25" ht="19.5" customHeight="1">
      <c r="A25" s="89" t="str">
        <f>'1erTRIM'!A26</f>
        <v/>
      </c>
      <c r="B25" s="130" t="str">
        <f>'1erTRIM'!B26</f>
        <v/>
      </c>
      <c r="C25" s="131" t="str">
        <f>'1erTRIM'!C26</f>
        <v/>
      </c>
      <c r="D25" s="92" t="str">
        <f t="array" ref="D25">IFERROR(index(Grades, match($E25*100,GradeRange,-1), 1))</f>
        <v/>
      </c>
      <c r="E25" s="93">
        <f t="shared" si="2"/>
        <v>0</v>
      </c>
      <c r="F25" s="132" t="str">
        <f>'1erTRIM'!AP26</f>
        <v/>
      </c>
      <c r="G25" s="135" t="str">
        <f>'2doTRIM'!AP26</f>
        <v/>
      </c>
      <c r="H25" s="132" t="str">
        <f>'3erTRIM'!AP26</f>
        <v/>
      </c>
      <c r="I25" s="136" t="str">
        <f t="shared" si="3"/>
        <v/>
      </c>
      <c r="J25" s="132" t="str">
        <f t="shared" si="4"/>
        <v/>
      </c>
    </row>
    <row r="26" ht="19.5" customHeight="1">
      <c r="A26" s="89" t="str">
        <f>'1erTRIM'!A27</f>
        <v/>
      </c>
      <c r="B26" s="130" t="str">
        <f>'1erTRIM'!B27</f>
        <v/>
      </c>
      <c r="C26" s="131" t="str">
        <f>'1erTRIM'!C27</f>
        <v/>
      </c>
      <c r="D26" s="92" t="str">
        <f t="array" ref="D26">IFERROR(index(Grades, match($E26*100,GradeRange,-1), 1))</f>
        <v/>
      </c>
      <c r="E26" s="93">
        <f t="shared" si="2"/>
        <v>0</v>
      </c>
      <c r="F26" s="132" t="str">
        <f>'1erTRIM'!AP27</f>
        <v/>
      </c>
      <c r="G26" s="135" t="str">
        <f>'2doTRIM'!AP27</f>
        <v/>
      </c>
      <c r="H26" s="132" t="str">
        <f>'3erTRIM'!AP27</f>
        <v/>
      </c>
      <c r="I26" s="136" t="str">
        <f t="shared" si="3"/>
        <v/>
      </c>
      <c r="J26" s="132" t="str">
        <f t="shared" si="4"/>
        <v/>
      </c>
    </row>
    <row r="27" ht="19.5" customHeight="1">
      <c r="A27" s="89" t="str">
        <f>'1erTRIM'!A28</f>
        <v/>
      </c>
      <c r="B27" s="130" t="str">
        <f>'1erTRIM'!B28</f>
        <v/>
      </c>
      <c r="C27" s="131" t="str">
        <f>'1erTRIM'!C28</f>
        <v/>
      </c>
      <c r="D27" s="92" t="str">
        <f t="array" ref="D27">IFERROR(index(Grades, match($E27*100,GradeRange,-1), 1))</f>
        <v/>
      </c>
      <c r="E27" s="93">
        <f t="shared" si="2"/>
        <v>0</v>
      </c>
      <c r="F27" s="132" t="str">
        <f>'1erTRIM'!AP28</f>
        <v/>
      </c>
      <c r="G27" s="135" t="str">
        <f>'2doTRIM'!AP28</f>
        <v/>
      </c>
      <c r="H27" s="132" t="str">
        <f>'3erTRIM'!AP28</f>
        <v/>
      </c>
      <c r="I27" s="136" t="str">
        <f t="shared" si="3"/>
        <v/>
      </c>
      <c r="J27" s="132" t="str">
        <f t="shared" si="4"/>
        <v/>
      </c>
    </row>
    <row r="28" ht="19.5" customHeight="1">
      <c r="A28" s="89" t="str">
        <f>'1erTRIM'!A29</f>
        <v/>
      </c>
      <c r="B28" s="130" t="str">
        <f>'1erTRIM'!B29</f>
        <v/>
      </c>
      <c r="C28" s="131" t="str">
        <f>'1erTRIM'!C29</f>
        <v/>
      </c>
      <c r="D28" s="92" t="str">
        <f t="array" ref="D28">IFERROR(index(Grades, match($E28*100,GradeRange,-1), 1))</f>
        <v/>
      </c>
      <c r="E28" s="93">
        <f t="shared" si="2"/>
        <v>0</v>
      </c>
      <c r="F28" s="132" t="str">
        <f>'1erTRIM'!AP29</f>
        <v/>
      </c>
      <c r="G28" s="135" t="str">
        <f>'2doTRIM'!AP29</f>
        <v/>
      </c>
      <c r="H28" s="132" t="str">
        <f>'3erTRIM'!AP29</f>
        <v/>
      </c>
      <c r="I28" s="136" t="str">
        <f t="shared" si="3"/>
        <v/>
      </c>
      <c r="J28" s="132" t="str">
        <f t="shared" si="4"/>
        <v/>
      </c>
    </row>
    <row r="29" ht="19.5" customHeight="1">
      <c r="A29" s="89" t="str">
        <f>'1erTRIM'!A30</f>
        <v/>
      </c>
      <c r="B29" s="130" t="str">
        <f>'1erTRIM'!B30</f>
        <v/>
      </c>
      <c r="C29" s="131" t="str">
        <f>'1erTRIM'!C30</f>
        <v/>
      </c>
      <c r="D29" s="92" t="str">
        <f t="array" ref="D29">IFERROR(index(Grades, match($E29*100,GradeRange,-1), 1))</f>
        <v/>
      </c>
      <c r="E29" s="93">
        <f t="shared" si="2"/>
        <v>0</v>
      </c>
      <c r="F29" s="132" t="str">
        <f>'1erTRIM'!AP30</f>
        <v/>
      </c>
      <c r="G29" s="135" t="str">
        <f>'2doTRIM'!AP30</f>
        <v/>
      </c>
      <c r="H29" s="132" t="str">
        <f>'3erTRIM'!AP30</f>
        <v/>
      </c>
      <c r="I29" s="136" t="str">
        <f t="shared" si="3"/>
        <v/>
      </c>
      <c r="J29" s="132" t="str">
        <f t="shared" si="4"/>
        <v/>
      </c>
    </row>
    <row r="30" ht="19.5" customHeight="1">
      <c r="A30" s="89" t="str">
        <f>'1erTRIM'!A31</f>
        <v/>
      </c>
      <c r="B30" s="130" t="str">
        <f>'1erTRIM'!B31</f>
        <v/>
      </c>
      <c r="C30" s="131" t="str">
        <f>'1erTRIM'!C31</f>
        <v/>
      </c>
      <c r="D30" s="92" t="str">
        <f t="array" ref="D30">IFERROR(index(Grades, match($E30*100,GradeRange,-1), 1))</f>
        <v/>
      </c>
      <c r="E30" s="93">
        <f t="shared" si="2"/>
        <v>0</v>
      </c>
      <c r="F30" s="132" t="str">
        <f>'1erTRIM'!AP31</f>
        <v/>
      </c>
      <c r="G30" s="135" t="str">
        <f>'2doTRIM'!AP31</f>
        <v/>
      </c>
      <c r="H30" s="132" t="str">
        <f>'3erTRIM'!AP31</f>
        <v/>
      </c>
      <c r="I30" s="136" t="str">
        <f t="shared" si="3"/>
        <v/>
      </c>
      <c r="J30" s="132" t="str">
        <f t="shared" si="4"/>
        <v/>
      </c>
    </row>
    <row r="31" ht="19.5" customHeight="1">
      <c r="A31" s="40" t="str">
        <f>'1erTRIM'!A32</f>
        <v/>
      </c>
      <c r="B31" s="130" t="str">
        <f>'1erTRIM'!B32</f>
        <v/>
      </c>
      <c r="C31" s="131" t="str">
        <f>'1erTRIM'!C32</f>
        <v/>
      </c>
      <c r="D31" s="92" t="str">
        <f t="array" ref="D31">IFERROR(index(Grades, match($E31*100,GradeRange,-1), 1))</f>
        <v/>
      </c>
      <c r="E31" s="93">
        <f t="shared" si="2"/>
        <v>0</v>
      </c>
      <c r="F31" s="132" t="str">
        <f>'1erTRIM'!AP32</f>
        <v/>
      </c>
      <c r="G31" s="135" t="str">
        <f>'2doTRIM'!AP32</f>
        <v/>
      </c>
      <c r="H31" s="132" t="str">
        <f>'3erTRIM'!AP32</f>
        <v/>
      </c>
      <c r="I31" s="136" t="str">
        <f t="shared" si="3"/>
        <v/>
      </c>
      <c r="J31" s="132" t="str">
        <f t="shared" si="4"/>
        <v/>
      </c>
    </row>
    <row r="32" ht="19.5" customHeight="1">
      <c r="A32" s="40" t="str">
        <f>'1erTRIM'!A33</f>
        <v/>
      </c>
      <c r="B32" s="130" t="str">
        <f>'1erTRIM'!B33</f>
        <v/>
      </c>
      <c r="C32" s="131" t="str">
        <f>'1erTRIM'!C33</f>
        <v/>
      </c>
      <c r="D32" s="92" t="str">
        <f t="array" ref="D32">IFERROR(index(Grades, match($E32*100,GradeRange,-1), 1))</f>
        <v/>
      </c>
      <c r="E32" s="93">
        <f t="shared" si="2"/>
        <v>0</v>
      </c>
      <c r="F32" s="132" t="str">
        <f>'1erTRIM'!AP33</f>
        <v/>
      </c>
      <c r="G32" s="135" t="str">
        <f>'2doTRIM'!AP33</f>
        <v/>
      </c>
      <c r="H32" s="132" t="str">
        <f>'3erTRIM'!AP33</f>
        <v/>
      </c>
      <c r="I32" s="136" t="str">
        <f t="shared" si="3"/>
        <v/>
      </c>
      <c r="J32" s="132" t="str">
        <f t="shared" si="4"/>
        <v/>
      </c>
    </row>
    <row r="33" ht="19.5" customHeight="1">
      <c r="A33" s="40" t="str">
        <f>'1erTRIM'!A34</f>
        <v/>
      </c>
      <c r="B33" s="130" t="str">
        <f>'1erTRIM'!B34</f>
        <v/>
      </c>
      <c r="C33" s="131" t="str">
        <f>'1erTRIM'!C34</f>
        <v/>
      </c>
      <c r="D33" s="92" t="str">
        <f t="array" ref="D33">IFERROR(index(Grades, match($E33*100,GradeRange,-1), 1))</f>
        <v/>
      </c>
      <c r="E33" s="93">
        <f t="shared" si="2"/>
        <v>0</v>
      </c>
      <c r="F33" s="137" t="str">
        <f>'1erTRIM'!AP34</f>
        <v/>
      </c>
      <c r="G33" s="138" t="str">
        <f>'2doTRIM'!AP34</f>
        <v/>
      </c>
      <c r="H33" s="137" t="str">
        <f>'3erTRIM'!AP34</f>
        <v/>
      </c>
      <c r="I33" s="139" t="str">
        <f t="shared" si="3"/>
        <v/>
      </c>
      <c r="J33" s="137" t="str">
        <f t="shared" si="4"/>
        <v/>
      </c>
    </row>
    <row r="34" ht="19.5" customHeight="1">
      <c r="A34" s="40" t="str">
        <f>'1erTRIM'!A35</f>
        <v/>
      </c>
      <c r="B34" s="130" t="str">
        <f>'1erTRIM'!B35</f>
        <v/>
      </c>
      <c r="C34" s="131" t="str">
        <f>'1erTRIM'!C35</f>
        <v/>
      </c>
      <c r="D34" s="92" t="str">
        <f t="array" ref="D34">IFERROR(index(Grades, match($E34*100,GradeRange,-1), 1))</f>
        <v/>
      </c>
      <c r="E34" s="93">
        <f t="shared" si="2"/>
        <v>0</v>
      </c>
      <c r="F34" s="137" t="str">
        <f>'1erTRIM'!AP35</f>
        <v/>
      </c>
      <c r="G34" s="138" t="str">
        <f>'2doTRIM'!AP35</f>
        <v/>
      </c>
      <c r="H34" s="137" t="str">
        <f>'3erTRIM'!AP35</f>
        <v/>
      </c>
      <c r="I34" s="139" t="str">
        <f t="shared" si="3"/>
        <v/>
      </c>
      <c r="J34" s="137" t="str">
        <f t="shared" si="4"/>
        <v/>
      </c>
    </row>
    <row r="35" ht="19.5" customHeight="1">
      <c r="A35" s="40" t="str">
        <f>'1erTRIM'!A36</f>
        <v/>
      </c>
      <c r="B35" s="130" t="str">
        <f>'1erTRIM'!B36</f>
        <v/>
      </c>
      <c r="C35" s="131" t="str">
        <f>'1erTRIM'!C36</f>
        <v/>
      </c>
      <c r="D35" s="92" t="str">
        <f t="array" ref="D35">IFERROR(index(Grades, match($E35*100,GradeRange,-1), 1))</f>
        <v/>
      </c>
      <c r="E35" s="93">
        <f t="shared" si="2"/>
        <v>0</v>
      </c>
      <c r="F35" s="137" t="str">
        <f>'1erTRIM'!AP36</f>
        <v/>
      </c>
      <c r="G35" s="138" t="str">
        <f>'2doTRIM'!AP36</f>
        <v/>
      </c>
      <c r="H35" s="137" t="str">
        <f>'3erTRIM'!AP36</f>
        <v/>
      </c>
      <c r="I35" s="139" t="str">
        <f t="shared" si="3"/>
        <v/>
      </c>
      <c r="J35" s="137" t="str">
        <f t="shared" si="4"/>
        <v/>
      </c>
    </row>
    <row r="36" ht="19.5" customHeight="1">
      <c r="A36" s="40" t="str">
        <f>'1erTRIM'!A37</f>
        <v/>
      </c>
      <c r="B36" s="130" t="str">
        <f>'1erTRIM'!B37</f>
        <v/>
      </c>
      <c r="C36" s="131" t="str">
        <f>'1erTRIM'!C37</f>
        <v/>
      </c>
      <c r="D36" s="92" t="str">
        <f t="array" ref="D36">IFERROR(index(Grades, match($E36*100,GradeRange,-1), 1))</f>
        <v/>
      </c>
      <c r="E36" s="93">
        <f t="shared" si="2"/>
        <v>0</v>
      </c>
      <c r="F36" s="137" t="str">
        <f>'1erTRIM'!AP37</f>
        <v/>
      </c>
      <c r="G36" s="140" t="str">
        <f>'2doTRIM'!AP37</f>
        <v/>
      </c>
      <c r="H36" s="137" t="str">
        <f>'3erTRIM'!AP37</f>
        <v/>
      </c>
      <c r="I36" s="141" t="str">
        <f t="shared" si="3"/>
        <v/>
      </c>
      <c r="J36" s="137" t="str">
        <f t="shared" si="4"/>
        <v/>
      </c>
    </row>
    <row r="37" ht="6.0" customHeight="1">
      <c r="A37" s="142">
        <v>4.0</v>
      </c>
      <c r="B37" s="115"/>
      <c r="C37" s="143"/>
      <c r="D37" s="115"/>
      <c r="E37" s="144"/>
      <c r="F37" s="145"/>
      <c r="G37" s="145"/>
      <c r="H37" s="145"/>
      <c r="I37" s="145"/>
      <c r="J37" s="145"/>
    </row>
  </sheetData>
  <mergeCells count="4">
    <mergeCell ref="B1:E1"/>
    <mergeCell ref="F1:J1"/>
    <mergeCell ref="B2:E3"/>
    <mergeCell ref="I2:I3"/>
  </mergeCells>
  <conditionalFormatting sqref="J7:J36">
    <cfRule type="cellIs" dxfId="1" priority="1" operator="equal">
      <formula>"REPROBADO"</formula>
    </cfRule>
  </conditionalFormatting>
  <conditionalFormatting sqref="F7:J36">
    <cfRule type="expression" dxfId="0" priority="2">
      <formula>iseven(row())</formula>
    </cfRule>
  </conditionalFormatting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46"/>
      <c r="B1" s="146" t="s">
        <v>53</v>
      </c>
      <c r="C1" s="146" t="s">
        <v>54</v>
      </c>
      <c r="D1" s="146" t="s">
        <v>55</v>
      </c>
      <c r="E1" s="146"/>
    </row>
    <row r="2">
      <c r="A2" s="146" t="s">
        <v>22</v>
      </c>
      <c r="B2" s="147" t="str">
        <f>'1erTRIM'!K7</f>
        <v/>
      </c>
      <c r="C2" s="148" t="str">
        <f>'2doTRIM'!K7</f>
        <v/>
      </c>
      <c r="D2" s="148" t="str">
        <f>'3erTRIM'!K7</f>
        <v/>
      </c>
      <c r="E2" s="149"/>
    </row>
    <row r="3">
      <c r="A3" s="146" t="s">
        <v>23</v>
      </c>
      <c r="B3" s="147" t="str">
        <f>'1erTRIM'!V7</f>
        <v/>
      </c>
      <c r="C3" s="148" t="str">
        <f>'2doTRIM'!V7</f>
        <v/>
      </c>
      <c r="D3" s="148" t="str">
        <f>'3erTRIM'!V7</f>
        <v/>
      </c>
      <c r="E3" s="149"/>
    </row>
    <row r="4">
      <c r="A4" s="146" t="s">
        <v>24</v>
      </c>
      <c r="B4" s="147" t="str">
        <f>'1erTRIM'!AG7</f>
        <v/>
      </c>
      <c r="C4" s="148" t="str">
        <f>'2doTRIM'!AG7</f>
        <v/>
      </c>
      <c r="D4" s="148" t="str">
        <f>'3erTRIM'!AG7</f>
        <v/>
      </c>
      <c r="E4" s="149"/>
    </row>
    <row r="5">
      <c r="A5" s="146" t="s">
        <v>25</v>
      </c>
      <c r="B5" s="147" t="str">
        <f>'1erTRIM'!AM7</f>
        <v/>
      </c>
      <c r="C5" s="148" t="str">
        <f>'2doTRIM'!AM7</f>
        <v/>
      </c>
      <c r="D5" s="148" t="str">
        <f>'3erTRIM'!AM7</f>
        <v/>
      </c>
      <c r="E5" s="149"/>
    </row>
  </sheetData>
  <drawing r:id="rId1"/>
</worksheet>
</file>
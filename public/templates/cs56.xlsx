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E:\Administracion\"/>
    </mc:Choice>
  </mc:AlternateContent>
  <xr:revisionPtr revIDLastSave="0" documentId="13_ncr:1_{82D76351-9EF3-41D6-AA2F-83531231CD95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Central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1" i="1" l="1"/>
  <c r="C10" i="1"/>
  <c r="C9" i="1"/>
  <c r="C8" i="1"/>
  <c r="CF41" i="1"/>
  <c r="CE41" i="1"/>
  <c r="CD41" i="1"/>
  <c r="CC41" i="1"/>
  <c r="CB41" i="1"/>
  <c r="CA41" i="1"/>
  <c r="BZ41" i="1"/>
  <c r="BY41" i="1"/>
  <c r="CF40" i="1"/>
  <c r="CE40" i="1"/>
  <c r="CD40" i="1"/>
  <c r="CC40" i="1"/>
  <c r="CB40" i="1"/>
  <c r="CA40" i="1"/>
  <c r="BZ40" i="1"/>
  <c r="BY40" i="1"/>
  <c r="CF39" i="1"/>
  <c r="CE39" i="1"/>
  <c r="CD39" i="1"/>
  <c r="CC39" i="1"/>
  <c r="CB39" i="1"/>
  <c r="CA39" i="1"/>
  <c r="BZ39" i="1"/>
  <c r="BY39" i="1"/>
  <c r="CF38" i="1"/>
  <c r="CF42" i="1" s="1"/>
  <c r="CE38" i="1"/>
  <c r="CE42" i="1" s="1"/>
  <c r="CD38" i="1"/>
  <c r="CD42" i="1" s="1"/>
  <c r="CC38" i="1"/>
  <c r="CC42" i="1" s="1"/>
  <c r="CB38" i="1"/>
  <c r="CB42" i="1" s="1"/>
  <c r="CA38" i="1"/>
  <c r="CA42" i="1" s="1"/>
  <c r="BZ38" i="1"/>
  <c r="BZ42" i="1" s="1"/>
  <c r="BY38" i="1"/>
  <c r="BY42" i="1" s="1"/>
  <c r="BX41" i="1"/>
  <c r="BW41" i="1"/>
  <c r="BV41" i="1"/>
  <c r="BU41" i="1"/>
  <c r="BT41" i="1"/>
  <c r="BS41" i="1"/>
  <c r="BR41" i="1"/>
  <c r="BQ41" i="1"/>
  <c r="BX40" i="1"/>
  <c r="BW40" i="1"/>
  <c r="BV40" i="1"/>
  <c r="BU40" i="1"/>
  <c r="BT40" i="1"/>
  <c r="BS40" i="1"/>
  <c r="BR40" i="1"/>
  <c r="BQ40" i="1"/>
  <c r="BX39" i="1"/>
  <c r="BW39" i="1"/>
  <c r="BV39" i="1"/>
  <c r="BU39" i="1"/>
  <c r="BT39" i="1"/>
  <c r="BS39" i="1"/>
  <c r="BR39" i="1"/>
  <c r="BQ39" i="1"/>
  <c r="BX38" i="1"/>
  <c r="BX42" i="1" s="1"/>
  <c r="BW38" i="1"/>
  <c r="BW42" i="1" s="1"/>
  <c r="BV38" i="1"/>
  <c r="BV42" i="1" s="1"/>
  <c r="BU38" i="1"/>
  <c r="BU42" i="1" s="1"/>
  <c r="BT38" i="1"/>
  <c r="BT42" i="1" s="1"/>
  <c r="BS38" i="1"/>
  <c r="BS42" i="1" s="1"/>
  <c r="BR38" i="1"/>
  <c r="BR42" i="1" s="1"/>
  <c r="BQ38" i="1"/>
  <c r="BQ42" i="1" s="1"/>
  <c r="BP41" i="1"/>
  <c r="BO41" i="1"/>
  <c r="BN41" i="1"/>
  <c r="BM41" i="1"/>
  <c r="BL41" i="1"/>
  <c r="BK41" i="1"/>
  <c r="BJ41" i="1"/>
  <c r="BI41" i="1"/>
  <c r="BP40" i="1"/>
  <c r="BO40" i="1"/>
  <c r="BN40" i="1"/>
  <c r="BM40" i="1"/>
  <c r="BL40" i="1"/>
  <c r="BK40" i="1"/>
  <c r="BJ40" i="1"/>
  <c r="BI40" i="1"/>
  <c r="BP39" i="1"/>
  <c r="BO39" i="1"/>
  <c r="BN39" i="1"/>
  <c r="BM39" i="1"/>
  <c r="BL39" i="1"/>
  <c r="BK39" i="1"/>
  <c r="BJ39" i="1"/>
  <c r="BI39" i="1"/>
  <c r="BP38" i="1"/>
  <c r="BP42" i="1" s="1"/>
  <c r="BO38" i="1"/>
  <c r="BO42" i="1" s="1"/>
  <c r="BN38" i="1"/>
  <c r="BN42" i="1" s="1"/>
  <c r="BM38" i="1"/>
  <c r="BM42" i="1" s="1"/>
  <c r="BL38" i="1"/>
  <c r="BL42" i="1" s="1"/>
  <c r="BK38" i="1"/>
  <c r="BK42" i="1" s="1"/>
  <c r="BJ38" i="1"/>
  <c r="BJ42" i="1" s="1"/>
  <c r="BI38" i="1"/>
  <c r="BI42" i="1" s="1"/>
  <c r="BF41" i="1"/>
  <c r="BE41" i="1"/>
  <c r="BD41" i="1"/>
  <c r="BC41" i="1"/>
  <c r="BB41" i="1"/>
  <c r="BA41" i="1"/>
  <c r="AZ41" i="1"/>
  <c r="AY41" i="1"/>
  <c r="BF40" i="1"/>
  <c r="BE40" i="1"/>
  <c r="BD40" i="1"/>
  <c r="BC40" i="1"/>
  <c r="BB40" i="1"/>
  <c r="BA40" i="1"/>
  <c r="AZ40" i="1"/>
  <c r="AY40" i="1"/>
  <c r="BF39" i="1"/>
  <c r="BE39" i="1"/>
  <c r="BD39" i="1"/>
  <c r="BC39" i="1"/>
  <c r="BB39" i="1"/>
  <c r="BA39" i="1"/>
  <c r="AZ39" i="1"/>
  <c r="AY39" i="1"/>
  <c r="BF38" i="1"/>
  <c r="BF42" i="1" s="1"/>
  <c r="BE38" i="1"/>
  <c r="BE42" i="1" s="1"/>
  <c r="BD38" i="1"/>
  <c r="BD42" i="1" s="1"/>
  <c r="BC38" i="1"/>
  <c r="BC42" i="1" s="1"/>
  <c r="BB38" i="1"/>
  <c r="BB42" i="1" s="1"/>
  <c r="BA38" i="1"/>
  <c r="BA42" i="1" s="1"/>
  <c r="AZ38" i="1"/>
  <c r="AZ42" i="1" s="1"/>
  <c r="AY38" i="1"/>
  <c r="AY42" i="1" s="1"/>
  <c r="AX41" i="1"/>
  <c r="AW41" i="1"/>
  <c r="AV41" i="1"/>
  <c r="AU41" i="1"/>
  <c r="AT41" i="1"/>
  <c r="AS41" i="1"/>
  <c r="AR41" i="1"/>
  <c r="AQ41" i="1"/>
  <c r="AX40" i="1"/>
  <c r="AW40" i="1"/>
  <c r="AV40" i="1"/>
  <c r="AU40" i="1"/>
  <c r="AT40" i="1"/>
  <c r="AS40" i="1"/>
  <c r="AR40" i="1"/>
  <c r="AQ40" i="1"/>
  <c r="AX39" i="1"/>
  <c r="AW39" i="1"/>
  <c r="AV39" i="1"/>
  <c r="AU39" i="1"/>
  <c r="AT39" i="1"/>
  <c r="AS39" i="1"/>
  <c r="AR39" i="1"/>
  <c r="AQ39" i="1"/>
  <c r="AX38" i="1"/>
  <c r="AX42" i="1" s="1"/>
  <c r="AW38" i="1"/>
  <c r="AW42" i="1" s="1"/>
  <c r="AV38" i="1"/>
  <c r="AV42" i="1" s="1"/>
  <c r="AU38" i="1"/>
  <c r="AU42" i="1" s="1"/>
  <c r="AT38" i="1"/>
  <c r="AT42" i="1" s="1"/>
  <c r="AS38" i="1"/>
  <c r="AS42" i="1" s="1"/>
  <c r="AR38" i="1"/>
  <c r="AR42" i="1" s="1"/>
  <c r="AQ38" i="1"/>
  <c r="AQ42" i="1" s="1"/>
  <c r="AP41" i="1"/>
  <c r="AO41" i="1"/>
  <c r="AN41" i="1"/>
  <c r="AM41" i="1"/>
  <c r="AL41" i="1"/>
  <c r="AK41" i="1"/>
  <c r="AJ41" i="1"/>
  <c r="AI41" i="1"/>
  <c r="AP40" i="1"/>
  <c r="AO40" i="1"/>
  <c r="AN40" i="1"/>
  <c r="AM40" i="1"/>
  <c r="AL40" i="1"/>
  <c r="AK40" i="1"/>
  <c r="AJ40" i="1"/>
  <c r="AI40" i="1"/>
  <c r="AP39" i="1"/>
  <c r="AO39" i="1"/>
  <c r="AN39" i="1"/>
  <c r="AM39" i="1"/>
  <c r="AL39" i="1"/>
  <c r="AK39" i="1"/>
  <c r="AJ39" i="1"/>
  <c r="AI39" i="1"/>
  <c r="AP38" i="1"/>
  <c r="AP42" i="1" s="1"/>
  <c r="AO38" i="1"/>
  <c r="AO42" i="1" s="1"/>
  <c r="AN38" i="1"/>
  <c r="AN42" i="1" s="1"/>
  <c r="AM38" i="1"/>
  <c r="AM42" i="1" s="1"/>
  <c r="AL38" i="1"/>
  <c r="AL42" i="1" s="1"/>
  <c r="AK38" i="1"/>
  <c r="AK42" i="1" s="1"/>
  <c r="AJ38" i="1"/>
  <c r="AJ42" i="1" s="1"/>
  <c r="AI38" i="1"/>
  <c r="AI42" i="1" s="1"/>
  <c r="AH41" i="1"/>
  <c r="AG41" i="1"/>
  <c r="AF41" i="1"/>
  <c r="AE41" i="1"/>
  <c r="AD41" i="1"/>
  <c r="AC41" i="1"/>
  <c r="AB41" i="1"/>
  <c r="AA41" i="1"/>
  <c r="AH40" i="1"/>
  <c r="AG40" i="1"/>
  <c r="AF40" i="1"/>
  <c r="AE40" i="1"/>
  <c r="AD40" i="1"/>
  <c r="AC40" i="1"/>
  <c r="AB40" i="1"/>
  <c r="AA40" i="1"/>
  <c r="AH39" i="1"/>
  <c r="AG39" i="1"/>
  <c r="AF39" i="1"/>
  <c r="AE39" i="1"/>
  <c r="AD39" i="1"/>
  <c r="AC39" i="1"/>
  <c r="AB39" i="1"/>
  <c r="AA39" i="1"/>
  <c r="AH38" i="1"/>
  <c r="AH42" i="1" s="1"/>
  <c r="AG38" i="1"/>
  <c r="AG42" i="1" s="1"/>
  <c r="AF38" i="1"/>
  <c r="AF42" i="1" s="1"/>
  <c r="AE38" i="1"/>
  <c r="AE42" i="1" s="1"/>
  <c r="AD38" i="1"/>
  <c r="AD42" i="1" s="1"/>
  <c r="AC38" i="1"/>
  <c r="AC42" i="1" s="1"/>
  <c r="AB38" i="1"/>
  <c r="AB42" i="1" s="1"/>
  <c r="AA38" i="1"/>
  <c r="AA42" i="1" s="1"/>
  <c r="Z41" i="1"/>
  <c r="Y41" i="1"/>
  <c r="X41" i="1"/>
  <c r="W41" i="1"/>
  <c r="V41" i="1"/>
  <c r="U41" i="1"/>
  <c r="T41" i="1"/>
  <c r="S41" i="1"/>
  <c r="Z40" i="1"/>
  <c r="Y40" i="1"/>
  <c r="X40" i="1"/>
  <c r="W40" i="1"/>
  <c r="V40" i="1"/>
  <c r="U40" i="1"/>
  <c r="T40" i="1"/>
  <c r="S40" i="1"/>
  <c r="Z39" i="1"/>
  <c r="Y39" i="1"/>
  <c r="X39" i="1"/>
  <c r="W39" i="1"/>
  <c r="V39" i="1"/>
  <c r="U39" i="1"/>
  <c r="T39" i="1"/>
  <c r="S39" i="1"/>
  <c r="Z38" i="1"/>
  <c r="Z42" i="1" s="1"/>
  <c r="Y38" i="1"/>
  <c r="Y42" i="1" s="1"/>
  <c r="X38" i="1"/>
  <c r="X42" i="1" s="1"/>
  <c r="W38" i="1"/>
  <c r="W42" i="1" s="1"/>
  <c r="V38" i="1"/>
  <c r="V42" i="1" s="1"/>
  <c r="U38" i="1"/>
  <c r="U42" i="1" s="1"/>
  <c r="T38" i="1"/>
  <c r="T42" i="1" s="1"/>
  <c r="S38" i="1"/>
  <c r="S42" i="1" s="1"/>
  <c r="R41" i="1"/>
  <c r="Q41" i="1"/>
  <c r="P41" i="1"/>
  <c r="O41" i="1"/>
  <c r="N41" i="1"/>
  <c r="M41" i="1"/>
  <c r="L41" i="1"/>
  <c r="K41" i="1"/>
  <c r="R40" i="1"/>
  <c r="Q40" i="1"/>
  <c r="P40" i="1"/>
  <c r="O40" i="1"/>
  <c r="N40" i="1"/>
  <c r="M40" i="1"/>
  <c r="L40" i="1"/>
  <c r="K40" i="1"/>
  <c r="R39" i="1"/>
  <c r="Q39" i="1"/>
  <c r="P39" i="1"/>
  <c r="O39" i="1"/>
  <c r="N39" i="1"/>
  <c r="M39" i="1"/>
  <c r="L39" i="1"/>
  <c r="K39" i="1"/>
  <c r="R38" i="1"/>
  <c r="R42" i="1" s="1"/>
  <c r="Q38" i="1"/>
  <c r="Q42" i="1" s="1"/>
  <c r="P38" i="1"/>
  <c r="P42" i="1" s="1"/>
  <c r="O38" i="1"/>
  <c r="O42" i="1" s="1"/>
  <c r="N38" i="1"/>
  <c r="N42" i="1" s="1"/>
  <c r="M38" i="1"/>
  <c r="M42" i="1" s="1"/>
  <c r="L38" i="1"/>
  <c r="L42" i="1" s="1"/>
  <c r="K38" i="1"/>
  <c r="K42" i="1" s="1"/>
  <c r="J41" i="1"/>
  <c r="I41" i="1"/>
  <c r="H41" i="1"/>
  <c r="G41" i="1"/>
  <c r="J40" i="1"/>
  <c r="I40" i="1"/>
  <c r="H40" i="1"/>
  <c r="G40" i="1"/>
  <c r="J39" i="1"/>
  <c r="I39" i="1"/>
  <c r="H39" i="1"/>
  <c r="G39" i="1"/>
  <c r="J38" i="1"/>
  <c r="J42" i="1" s="1"/>
  <c r="I38" i="1"/>
  <c r="I42" i="1" s="1"/>
  <c r="H38" i="1"/>
  <c r="H42" i="1" s="1"/>
  <c r="G38" i="1"/>
  <c r="G42" i="1" s="1"/>
  <c r="D42" i="1"/>
  <c r="D41" i="1"/>
  <c r="D40" i="1"/>
  <c r="D39" i="1"/>
  <c r="D38" i="1"/>
  <c r="I37" i="1"/>
  <c r="H37" i="1"/>
  <c r="G37" i="1"/>
  <c r="I36" i="1"/>
  <c r="H36" i="1"/>
  <c r="G36" i="1"/>
  <c r="I35" i="1"/>
  <c r="H35" i="1"/>
  <c r="G35" i="1"/>
  <c r="I34" i="1"/>
  <c r="H34" i="1"/>
  <c r="G34" i="1"/>
  <c r="I33" i="1"/>
  <c r="H33" i="1"/>
  <c r="G33" i="1"/>
  <c r="I32" i="1"/>
  <c r="H32" i="1"/>
  <c r="G32" i="1"/>
  <c r="I31" i="1"/>
  <c r="H31" i="1"/>
  <c r="G31" i="1"/>
  <c r="I30" i="1"/>
  <c r="H30" i="1"/>
  <c r="G30" i="1"/>
  <c r="I29" i="1"/>
  <c r="H29" i="1"/>
  <c r="G29" i="1"/>
  <c r="I28" i="1"/>
  <c r="H28" i="1"/>
  <c r="G28" i="1"/>
  <c r="I27" i="1"/>
  <c r="H27" i="1"/>
  <c r="G27" i="1"/>
  <c r="I26" i="1"/>
  <c r="H26" i="1"/>
  <c r="G26" i="1"/>
  <c r="I25" i="1"/>
  <c r="H25" i="1"/>
  <c r="G25" i="1"/>
  <c r="I24" i="1"/>
  <c r="H24" i="1"/>
  <c r="G24" i="1"/>
  <c r="I23" i="1"/>
  <c r="H23" i="1"/>
  <c r="G23" i="1"/>
  <c r="I22" i="1"/>
  <c r="H22" i="1"/>
  <c r="G22" i="1"/>
  <c r="I21" i="1"/>
  <c r="H21" i="1"/>
  <c r="G21" i="1"/>
  <c r="I20" i="1"/>
  <c r="H20" i="1"/>
  <c r="G20" i="1"/>
  <c r="I19" i="1"/>
  <c r="H19" i="1"/>
  <c r="G19" i="1"/>
  <c r="I18" i="1"/>
  <c r="H18" i="1"/>
  <c r="G18" i="1"/>
  <c r="I17" i="1"/>
  <c r="H17" i="1"/>
  <c r="G17" i="1"/>
  <c r="I16" i="1"/>
  <c r="H16" i="1"/>
  <c r="G16" i="1"/>
  <c r="I15" i="1"/>
  <c r="H15" i="1"/>
  <c r="G15" i="1"/>
  <c r="I14" i="1"/>
  <c r="H14" i="1"/>
  <c r="G14" i="1"/>
  <c r="I13" i="1"/>
  <c r="H13" i="1"/>
  <c r="G13" i="1"/>
  <c r="I12" i="1"/>
  <c r="H12" i="1"/>
  <c r="G12" i="1"/>
  <c r="I11" i="1"/>
  <c r="H11" i="1"/>
  <c r="G11" i="1"/>
  <c r="I10" i="1"/>
  <c r="H10" i="1"/>
  <c r="G10" i="1"/>
  <c r="I9" i="1"/>
  <c r="H9" i="1"/>
  <c r="G9" i="1"/>
  <c r="I8" i="1"/>
  <c r="H8" i="1"/>
  <c r="G8" i="1"/>
  <c r="E37" i="1"/>
  <c r="D37" i="1"/>
  <c r="C37" i="1"/>
  <c r="E36" i="1"/>
  <c r="D36" i="1"/>
  <c r="C36" i="1"/>
  <c r="E35" i="1"/>
  <c r="D35" i="1"/>
  <c r="C35" i="1"/>
  <c r="E34" i="1"/>
  <c r="D34" i="1"/>
  <c r="C34" i="1"/>
  <c r="E33" i="1"/>
  <c r="D33" i="1"/>
  <c r="C33" i="1"/>
  <c r="E32" i="1"/>
  <c r="D32" i="1"/>
  <c r="C32" i="1"/>
  <c r="E31" i="1"/>
  <c r="D31" i="1"/>
  <c r="C31" i="1"/>
  <c r="E30" i="1"/>
  <c r="D30" i="1"/>
  <c r="C30" i="1"/>
  <c r="E29" i="1"/>
  <c r="D29" i="1"/>
  <c r="C29" i="1"/>
  <c r="E28" i="1"/>
  <c r="D28" i="1"/>
  <c r="C28" i="1"/>
  <c r="E27" i="1"/>
  <c r="D27" i="1"/>
  <c r="C27" i="1"/>
  <c r="E26" i="1"/>
  <c r="D26" i="1"/>
  <c r="C26" i="1"/>
  <c r="E25" i="1"/>
  <c r="D25" i="1"/>
  <c r="C25" i="1"/>
  <c r="E24" i="1"/>
  <c r="D24" i="1"/>
  <c r="C24" i="1"/>
  <c r="E23" i="1"/>
  <c r="D23" i="1"/>
  <c r="C23" i="1"/>
  <c r="E22" i="1"/>
  <c r="D22" i="1"/>
  <c r="C22" i="1"/>
  <c r="E21" i="1"/>
  <c r="D21" i="1"/>
  <c r="C21" i="1"/>
  <c r="E20" i="1"/>
  <c r="D20" i="1"/>
  <c r="C20" i="1"/>
  <c r="E19" i="1"/>
  <c r="D19" i="1"/>
  <c r="C19" i="1"/>
  <c r="E18" i="1"/>
  <c r="D18" i="1"/>
  <c r="C18" i="1"/>
  <c r="E17" i="1"/>
  <c r="D17" i="1"/>
  <c r="C17" i="1"/>
  <c r="E16" i="1"/>
  <c r="D16" i="1"/>
  <c r="C16" i="1"/>
  <c r="E15" i="1"/>
  <c r="D15" i="1"/>
  <c r="C15" i="1"/>
  <c r="E14" i="1"/>
  <c r="D14" i="1"/>
  <c r="C14" i="1"/>
  <c r="E13" i="1"/>
  <c r="D13" i="1"/>
  <c r="C13" i="1"/>
  <c r="E12" i="1"/>
  <c r="D12" i="1"/>
  <c r="C12" i="1"/>
  <c r="E11" i="1"/>
  <c r="D11" i="1"/>
  <c r="E10" i="1"/>
  <c r="D10" i="1"/>
  <c r="E9" i="1"/>
  <c r="D9" i="1"/>
  <c r="E8" i="1"/>
  <c r="D8" i="1"/>
  <c r="BH37" i="1" l="1"/>
  <c r="BH36" i="1"/>
  <c r="BH35" i="1"/>
  <c r="BH34" i="1"/>
  <c r="BH33" i="1"/>
  <c r="BH32" i="1"/>
  <c r="BH31" i="1"/>
  <c r="BH30" i="1"/>
  <c r="BH29" i="1"/>
  <c r="BH28" i="1"/>
  <c r="BH27" i="1"/>
  <c r="BH26" i="1"/>
  <c r="BH25" i="1"/>
  <c r="BH24" i="1"/>
  <c r="BH23" i="1"/>
  <c r="BH22" i="1"/>
  <c r="BH21" i="1"/>
  <c r="BH20" i="1"/>
  <c r="BH19" i="1"/>
  <c r="BH18" i="1"/>
  <c r="BH17" i="1"/>
  <c r="BH16" i="1"/>
  <c r="BH15" i="1"/>
  <c r="BH14" i="1"/>
  <c r="BH13" i="1"/>
  <c r="BH12" i="1"/>
  <c r="BH11" i="1"/>
  <c r="BH10" i="1"/>
  <c r="BH9" i="1"/>
  <c r="BH8" i="1"/>
  <c r="BG3" i="1" l="1"/>
  <c r="BG4" i="1"/>
  <c r="BG5" i="1"/>
  <c r="BG2" i="1"/>
  <c r="CF37" i="1"/>
  <c r="J37" i="1" s="1"/>
  <c r="CB37" i="1"/>
  <c r="BX37" i="1"/>
  <c r="BT37" i="1"/>
  <c r="F37" i="1" s="1"/>
  <c r="BP37" i="1"/>
  <c r="BL37" i="1"/>
  <c r="CF36" i="1"/>
  <c r="J36" i="1" s="1"/>
  <c r="CB36" i="1"/>
  <c r="BX36" i="1"/>
  <c r="BT36" i="1"/>
  <c r="F36" i="1" s="1"/>
  <c r="BP36" i="1"/>
  <c r="BL36" i="1"/>
  <c r="CF35" i="1"/>
  <c r="J35" i="1" s="1"/>
  <c r="CB35" i="1"/>
  <c r="BX35" i="1"/>
  <c r="BT35" i="1"/>
  <c r="F35" i="1" s="1"/>
  <c r="BP35" i="1"/>
  <c r="BL35" i="1"/>
  <c r="CF34" i="1"/>
  <c r="J34" i="1" s="1"/>
  <c r="CB34" i="1"/>
  <c r="BX34" i="1"/>
  <c r="BT34" i="1"/>
  <c r="F34" i="1" s="1"/>
  <c r="BP34" i="1"/>
  <c r="BL34" i="1"/>
  <c r="CF33" i="1"/>
  <c r="J33" i="1" s="1"/>
  <c r="CB33" i="1"/>
  <c r="BX33" i="1"/>
  <c r="BT33" i="1"/>
  <c r="F33" i="1" s="1"/>
  <c r="BP33" i="1"/>
  <c r="BL33" i="1"/>
  <c r="CF32" i="1"/>
  <c r="J32" i="1" s="1"/>
  <c r="CB32" i="1"/>
  <c r="BX32" i="1"/>
  <c r="BT32" i="1"/>
  <c r="F32" i="1" s="1"/>
  <c r="BP32" i="1"/>
  <c r="BL32" i="1"/>
  <c r="CF31" i="1"/>
  <c r="J31" i="1" s="1"/>
  <c r="CB31" i="1"/>
  <c r="BX31" i="1"/>
  <c r="BT31" i="1"/>
  <c r="F31" i="1" s="1"/>
  <c r="BP31" i="1"/>
  <c r="BL31" i="1"/>
  <c r="CF30" i="1"/>
  <c r="J30" i="1" s="1"/>
  <c r="CB30" i="1"/>
  <c r="BX30" i="1"/>
  <c r="BT30" i="1"/>
  <c r="F30" i="1" s="1"/>
  <c r="BP30" i="1"/>
  <c r="BL30" i="1"/>
  <c r="CF29" i="1"/>
  <c r="J29" i="1" s="1"/>
  <c r="CB29" i="1"/>
  <c r="BX29" i="1"/>
  <c r="BT29" i="1"/>
  <c r="F29" i="1" s="1"/>
  <c r="BP29" i="1"/>
  <c r="BL29" i="1"/>
  <c r="CF28" i="1"/>
  <c r="J28" i="1" s="1"/>
  <c r="CB28" i="1"/>
  <c r="BX28" i="1"/>
  <c r="BT28" i="1"/>
  <c r="F28" i="1" s="1"/>
  <c r="BP28" i="1"/>
  <c r="BL28" i="1"/>
  <c r="CF27" i="1"/>
  <c r="J27" i="1" s="1"/>
  <c r="CB27" i="1"/>
  <c r="BX27" i="1"/>
  <c r="BT27" i="1"/>
  <c r="F27" i="1" s="1"/>
  <c r="BP27" i="1"/>
  <c r="BL27" i="1"/>
  <c r="CF26" i="1"/>
  <c r="J26" i="1" s="1"/>
  <c r="CB26" i="1"/>
  <c r="BX26" i="1"/>
  <c r="BT26" i="1"/>
  <c r="F26" i="1" s="1"/>
  <c r="BP26" i="1"/>
  <c r="BL26" i="1"/>
  <c r="CF25" i="1"/>
  <c r="J25" i="1" s="1"/>
  <c r="CB25" i="1"/>
  <c r="BX25" i="1"/>
  <c r="BT25" i="1"/>
  <c r="F25" i="1" s="1"/>
  <c r="BP25" i="1"/>
  <c r="BL25" i="1"/>
  <c r="CF24" i="1"/>
  <c r="J24" i="1" s="1"/>
  <c r="CB24" i="1"/>
  <c r="BX24" i="1"/>
  <c r="BT24" i="1"/>
  <c r="F24" i="1" s="1"/>
  <c r="BP24" i="1"/>
  <c r="BL24" i="1"/>
  <c r="CF23" i="1"/>
  <c r="J23" i="1" s="1"/>
  <c r="CB23" i="1"/>
  <c r="BX23" i="1"/>
  <c r="BT23" i="1"/>
  <c r="F23" i="1" s="1"/>
  <c r="BP23" i="1"/>
  <c r="BL23" i="1"/>
  <c r="CF22" i="1"/>
  <c r="J22" i="1" s="1"/>
  <c r="CB22" i="1"/>
  <c r="BX22" i="1"/>
  <c r="BT22" i="1"/>
  <c r="F22" i="1" s="1"/>
  <c r="BP22" i="1"/>
  <c r="BL22" i="1"/>
  <c r="CF21" i="1"/>
  <c r="J21" i="1" s="1"/>
  <c r="CB21" i="1"/>
  <c r="BX21" i="1"/>
  <c r="BT21" i="1"/>
  <c r="F21" i="1" s="1"/>
  <c r="BP21" i="1"/>
  <c r="BL21" i="1"/>
  <c r="CF20" i="1"/>
  <c r="J20" i="1" s="1"/>
  <c r="CB20" i="1"/>
  <c r="BX20" i="1"/>
  <c r="BT20" i="1"/>
  <c r="F20" i="1" s="1"/>
  <c r="BP20" i="1"/>
  <c r="BL20" i="1"/>
  <c r="CF19" i="1"/>
  <c r="J19" i="1" s="1"/>
  <c r="CB19" i="1"/>
  <c r="BX19" i="1"/>
  <c r="BT19" i="1"/>
  <c r="F19" i="1" s="1"/>
  <c r="BP19" i="1"/>
  <c r="BL19" i="1"/>
  <c r="CF18" i="1"/>
  <c r="J18" i="1" s="1"/>
  <c r="CB18" i="1"/>
  <c r="BX18" i="1"/>
  <c r="BT18" i="1"/>
  <c r="F18" i="1" s="1"/>
  <c r="BP18" i="1"/>
  <c r="BL18" i="1"/>
  <c r="CF17" i="1"/>
  <c r="J17" i="1" s="1"/>
  <c r="CB17" i="1"/>
  <c r="BX17" i="1"/>
  <c r="BT17" i="1"/>
  <c r="F17" i="1" s="1"/>
  <c r="BP17" i="1"/>
  <c r="BL17" i="1"/>
  <c r="CF16" i="1"/>
  <c r="J16" i="1" s="1"/>
  <c r="CB16" i="1"/>
  <c r="BX16" i="1"/>
  <c r="BT16" i="1"/>
  <c r="F16" i="1" s="1"/>
  <c r="BP16" i="1"/>
  <c r="BL16" i="1"/>
  <c r="CF15" i="1"/>
  <c r="J15" i="1" s="1"/>
  <c r="CB15" i="1"/>
  <c r="BX15" i="1"/>
  <c r="BT15" i="1"/>
  <c r="F15" i="1" s="1"/>
  <c r="BP15" i="1"/>
  <c r="BL15" i="1"/>
  <c r="CF14" i="1"/>
  <c r="J14" i="1" s="1"/>
  <c r="CB14" i="1"/>
  <c r="BX14" i="1"/>
  <c r="BT14" i="1"/>
  <c r="F14" i="1" s="1"/>
  <c r="BP14" i="1"/>
  <c r="BL14" i="1"/>
  <c r="CF13" i="1"/>
  <c r="J13" i="1" s="1"/>
  <c r="CB13" i="1"/>
  <c r="BX13" i="1"/>
  <c r="BT13" i="1"/>
  <c r="F13" i="1" s="1"/>
  <c r="BP13" i="1"/>
  <c r="BL13" i="1"/>
  <c r="CF12" i="1"/>
  <c r="J12" i="1" s="1"/>
  <c r="CB12" i="1"/>
  <c r="BX12" i="1"/>
  <c r="BT12" i="1"/>
  <c r="F12" i="1" s="1"/>
  <c r="BP12" i="1"/>
  <c r="BL12" i="1"/>
  <c r="CF11" i="1"/>
  <c r="J11" i="1" s="1"/>
  <c r="CB11" i="1"/>
  <c r="BX11" i="1"/>
  <c r="BT11" i="1"/>
  <c r="F11" i="1" s="1"/>
  <c r="BP11" i="1"/>
  <c r="BL11" i="1"/>
  <c r="CF10" i="1"/>
  <c r="J10" i="1" s="1"/>
  <c r="CB10" i="1"/>
  <c r="BX10" i="1"/>
  <c r="BT10" i="1"/>
  <c r="F10" i="1" s="1"/>
  <c r="BP10" i="1"/>
  <c r="BL10" i="1"/>
  <c r="CF9" i="1"/>
  <c r="J9" i="1" s="1"/>
  <c r="CB9" i="1"/>
  <c r="BX9" i="1"/>
  <c r="BT9" i="1"/>
  <c r="F9" i="1" s="1"/>
  <c r="BP9" i="1"/>
  <c r="BL9" i="1"/>
  <c r="CF8" i="1"/>
  <c r="J8" i="1" s="1"/>
  <c r="CB8" i="1"/>
  <c r="BX8" i="1"/>
  <c r="BT8" i="1"/>
  <c r="F8" i="1" s="1"/>
  <c r="BP8" i="1"/>
  <c r="BL8" i="1"/>
  <c r="BB37" i="1" l="1"/>
  <c r="BB36" i="1"/>
  <c r="BB35" i="1"/>
  <c r="BB34" i="1"/>
  <c r="BB33" i="1"/>
  <c r="BB32" i="1"/>
  <c r="BB31" i="1"/>
  <c r="BB30" i="1"/>
  <c r="BB29" i="1"/>
  <c r="BB28" i="1"/>
  <c r="BB27" i="1"/>
  <c r="BB26" i="1"/>
  <c r="BB25" i="1"/>
  <c r="BB24" i="1"/>
  <c r="BB23" i="1"/>
  <c r="BB22" i="1"/>
  <c r="BB21" i="1"/>
  <c r="BB20" i="1"/>
  <c r="BB19" i="1"/>
  <c r="BB18" i="1"/>
  <c r="BB17" i="1"/>
  <c r="BB16" i="1"/>
  <c r="BB15" i="1"/>
  <c r="BB14" i="1"/>
  <c r="BB13" i="1"/>
  <c r="BB12" i="1"/>
  <c r="BB11" i="1"/>
  <c r="BB10" i="1"/>
  <c r="BB9" i="1"/>
  <c r="BB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T37" i="1"/>
  <c r="AT36" i="1"/>
  <c r="AT35" i="1"/>
  <c r="AT34" i="1"/>
  <c r="AT33" i="1"/>
  <c r="AT32" i="1"/>
  <c r="AT31" i="1"/>
  <c r="AT30" i="1"/>
  <c r="AT29" i="1"/>
  <c r="AT28" i="1"/>
  <c r="AT27" i="1"/>
  <c r="AT26" i="1"/>
  <c r="AT25" i="1"/>
  <c r="AT24" i="1"/>
  <c r="AT23" i="1"/>
  <c r="AT22" i="1"/>
  <c r="AT21" i="1"/>
  <c r="AT20" i="1"/>
  <c r="AT19" i="1"/>
  <c r="AT18" i="1"/>
  <c r="AT17" i="1"/>
  <c r="AT16" i="1"/>
  <c r="AT15" i="1"/>
  <c r="AT14" i="1"/>
  <c r="AT13" i="1"/>
  <c r="AT12" i="1"/>
  <c r="AT11" i="1"/>
  <c r="AT10" i="1"/>
  <c r="AT9" i="1"/>
  <c r="AT8" i="1"/>
  <c r="AP37" i="1"/>
  <c r="AP36" i="1"/>
  <c r="AP35" i="1"/>
  <c r="AP34" i="1"/>
  <c r="AP33" i="1"/>
  <c r="AP32" i="1"/>
  <c r="AP31" i="1"/>
  <c r="AP30" i="1"/>
  <c r="AP29" i="1"/>
  <c r="AP28" i="1"/>
  <c r="AP27" i="1"/>
  <c r="AP26" i="1"/>
  <c r="AP25" i="1"/>
  <c r="AP24" i="1"/>
  <c r="AP23" i="1"/>
  <c r="AP22" i="1"/>
  <c r="AP21" i="1"/>
  <c r="AP20" i="1"/>
  <c r="AP19" i="1"/>
  <c r="AP18" i="1"/>
  <c r="AP17" i="1"/>
  <c r="AP16" i="1"/>
  <c r="AP15" i="1"/>
  <c r="AP14" i="1"/>
  <c r="AP13" i="1"/>
  <c r="AP12" i="1"/>
  <c r="AP11" i="1"/>
  <c r="AP10" i="1"/>
  <c r="AP9" i="1"/>
  <c r="AP8" i="1"/>
  <c r="AL37" i="1"/>
  <c r="AL36" i="1"/>
  <c r="AL35" i="1"/>
  <c r="AL34" i="1"/>
  <c r="AL33" i="1"/>
  <c r="AL32" i="1"/>
  <c r="AL31" i="1"/>
  <c r="AL30" i="1"/>
  <c r="AL29" i="1"/>
  <c r="AL28" i="1"/>
  <c r="AL27" i="1"/>
  <c r="AL26" i="1"/>
  <c r="AL25" i="1"/>
  <c r="AL24" i="1"/>
  <c r="AL23" i="1"/>
  <c r="AL22" i="1"/>
  <c r="AL21" i="1"/>
  <c r="AL20" i="1"/>
  <c r="AL19" i="1"/>
  <c r="AL18" i="1"/>
  <c r="AL17" i="1"/>
  <c r="AL16" i="1"/>
  <c r="AL15" i="1"/>
  <c r="AL14" i="1"/>
  <c r="AL13" i="1"/>
  <c r="AL12" i="1"/>
  <c r="AL11" i="1"/>
  <c r="AL10" i="1"/>
  <c r="AL9" i="1"/>
  <c r="AL8" i="1"/>
  <c r="AH37" i="1"/>
  <c r="AH36" i="1"/>
  <c r="AH35" i="1"/>
  <c r="AH34" i="1"/>
  <c r="AH33" i="1"/>
  <c r="AH32" i="1"/>
  <c r="AH31" i="1"/>
  <c r="AH30" i="1"/>
  <c r="AH29" i="1"/>
  <c r="AH28" i="1"/>
  <c r="AH27" i="1"/>
  <c r="AH26" i="1"/>
  <c r="AH25" i="1"/>
  <c r="AH24" i="1"/>
  <c r="AH23" i="1"/>
  <c r="AH22" i="1"/>
  <c r="AH21" i="1"/>
  <c r="AH20" i="1"/>
  <c r="AH19" i="1"/>
  <c r="AH18" i="1"/>
  <c r="AH17" i="1"/>
  <c r="AH16" i="1"/>
  <c r="AH15" i="1"/>
  <c r="AH14" i="1"/>
  <c r="AH13" i="1"/>
  <c r="AH12" i="1"/>
  <c r="AH11" i="1"/>
  <c r="AH10" i="1"/>
  <c r="AH9" i="1"/>
  <c r="AH8" i="1"/>
  <c r="AD37" i="1"/>
  <c r="AD36" i="1"/>
  <c r="AD35" i="1"/>
  <c r="AD34" i="1"/>
  <c r="AD33" i="1"/>
  <c r="AD32" i="1"/>
  <c r="AD31" i="1"/>
  <c r="AD30" i="1"/>
  <c r="AD29" i="1"/>
  <c r="AD28" i="1"/>
  <c r="AD27" i="1"/>
  <c r="AD26" i="1"/>
  <c r="AD25" i="1"/>
  <c r="AD24" i="1"/>
  <c r="AD23" i="1"/>
  <c r="AD22" i="1"/>
  <c r="AD21" i="1"/>
  <c r="AD20" i="1"/>
  <c r="AD19" i="1"/>
  <c r="AD18" i="1"/>
  <c r="AD17" i="1"/>
  <c r="AD16" i="1"/>
  <c r="AD15" i="1"/>
  <c r="AD14" i="1"/>
  <c r="AD13" i="1"/>
  <c r="AD12" i="1"/>
  <c r="AD11" i="1"/>
  <c r="AD10" i="1"/>
  <c r="AD9" i="1"/>
  <c r="AD8" i="1"/>
  <c r="Z37" i="1"/>
  <c r="BF37" i="1" s="1"/>
  <c r="Z36" i="1"/>
  <c r="Z35" i="1"/>
  <c r="Z34" i="1"/>
  <c r="Z33" i="1"/>
  <c r="Z32" i="1"/>
  <c r="Z31" i="1"/>
  <c r="Z30" i="1"/>
  <c r="Z29" i="1"/>
  <c r="BF29" i="1" s="1"/>
  <c r="Z28" i="1"/>
  <c r="Z27" i="1"/>
  <c r="Z26" i="1"/>
  <c r="Z25" i="1"/>
  <c r="Z24" i="1"/>
  <c r="Z23" i="1"/>
  <c r="Z22" i="1"/>
  <c r="Z21" i="1"/>
  <c r="Z20" i="1"/>
  <c r="Z19" i="1"/>
  <c r="Z18" i="1"/>
  <c r="Z17" i="1"/>
  <c r="Z16" i="1"/>
  <c r="Z15" i="1"/>
  <c r="Z14" i="1"/>
  <c r="Z13" i="1"/>
  <c r="Z12" i="1"/>
  <c r="Z11" i="1"/>
  <c r="Z10" i="1"/>
  <c r="Z9" i="1"/>
  <c r="Z8" i="1"/>
  <c r="V37" i="1"/>
  <c r="V36" i="1"/>
  <c r="V35" i="1"/>
  <c r="V34" i="1"/>
  <c r="V33" i="1"/>
  <c r="V32" i="1"/>
  <c r="V31" i="1"/>
  <c r="V30" i="1"/>
  <c r="V29" i="1"/>
  <c r="V28" i="1"/>
  <c r="V27" i="1"/>
  <c r="V26" i="1"/>
  <c r="V25" i="1"/>
  <c r="V24" i="1"/>
  <c r="V23" i="1"/>
  <c r="V22" i="1"/>
  <c r="V21" i="1"/>
  <c r="V20" i="1"/>
  <c r="V19" i="1"/>
  <c r="V18" i="1"/>
  <c r="V17" i="1"/>
  <c r="V16" i="1"/>
  <c r="V15" i="1"/>
  <c r="V14" i="1"/>
  <c r="V13" i="1"/>
  <c r="V12" i="1"/>
  <c r="V11" i="1"/>
  <c r="V10" i="1"/>
  <c r="V9" i="1"/>
  <c r="V8" i="1"/>
  <c r="R37" i="1"/>
  <c r="R36" i="1"/>
  <c r="R35" i="1"/>
  <c r="R34" i="1"/>
  <c r="R33" i="1"/>
  <c r="BF33" i="1" s="1"/>
  <c r="R32" i="1"/>
  <c r="R31" i="1"/>
  <c r="R30" i="1"/>
  <c r="R29" i="1"/>
  <c r="R28" i="1"/>
  <c r="R27" i="1"/>
  <c r="R26" i="1"/>
  <c r="R25" i="1"/>
  <c r="BF25" i="1" s="1"/>
  <c r="R24" i="1"/>
  <c r="R23" i="1"/>
  <c r="R22" i="1"/>
  <c r="R21" i="1"/>
  <c r="R20" i="1"/>
  <c r="R19" i="1"/>
  <c r="R18" i="1"/>
  <c r="R17" i="1"/>
  <c r="BF17" i="1" s="1"/>
  <c r="R16" i="1"/>
  <c r="R15" i="1"/>
  <c r="R14" i="1"/>
  <c r="R13" i="1"/>
  <c r="BF13" i="1" s="1"/>
  <c r="R12" i="1"/>
  <c r="R11" i="1"/>
  <c r="R10" i="1"/>
  <c r="R9" i="1"/>
  <c r="BF9" i="1" s="1"/>
  <c r="R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BF10" i="1" s="1"/>
  <c r="N9" i="1"/>
  <c r="N8" i="1"/>
  <c r="BF21" i="1"/>
  <c r="F38" i="1"/>
  <c r="F42" i="1" s="1"/>
  <c r="C40" i="1"/>
  <c r="E40" i="1"/>
  <c r="C38" i="1"/>
  <c r="C42" i="1" s="1"/>
  <c r="E38" i="1"/>
  <c r="E42" i="1" s="1"/>
  <c r="C39" i="1"/>
  <c r="E39" i="1"/>
  <c r="C41" i="1"/>
  <c r="E41" i="1"/>
  <c r="BF16" i="1" l="1"/>
  <c r="F40" i="1"/>
  <c r="BF24" i="1"/>
  <c r="BF32" i="1"/>
  <c r="BF18" i="1"/>
  <c r="BF26" i="1"/>
  <c r="BF34" i="1"/>
  <c r="BF11" i="1"/>
  <c r="BF12" i="1"/>
  <c r="BF20" i="1"/>
  <c r="BF28" i="1"/>
  <c r="BF36" i="1"/>
  <c r="BF14" i="1"/>
  <c r="BF30" i="1"/>
  <c r="BF19" i="1"/>
  <c r="BF27" i="1"/>
  <c r="BF35" i="1"/>
  <c r="BF22" i="1"/>
  <c r="BF15" i="1"/>
  <c r="BF23" i="1"/>
  <c r="BF31" i="1"/>
  <c r="F41" i="1"/>
  <c r="F39" i="1"/>
  <c r="BF8" i="1"/>
</calcChain>
</file>

<file path=xl/sharedStrings.xml><?xml version="1.0" encoding="utf-8"?>
<sst xmlns="http://schemas.openxmlformats.org/spreadsheetml/2006/main" count="130" uniqueCount="41">
  <si>
    <t>Nº</t>
  </si>
  <si>
    <t>APELLIDOS Y NOMBRES</t>
  </si>
  <si>
    <t>Música</t>
  </si>
  <si>
    <t>Matemáticas</t>
  </si>
  <si>
    <t>F. Humana</t>
  </si>
  <si>
    <t>PROMEDIO</t>
  </si>
  <si>
    <t>CUADRO GENERAL DE NOTAS</t>
  </si>
  <si>
    <t>(CONSEJEROS Y DIRECCIONES TÉCNICAS)</t>
  </si>
  <si>
    <t>Grammar</t>
  </si>
  <si>
    <t>PROMEDIOS MATERIAS</t>
  </si>
  <si>
    <t>MEDIANAS GENERALES</t>
  </si>
  <si>
    <t>NOTA MAXIMA</t>
  </si>
  <si>
    <t>NOTA MINIMA</t>
  </si>
  <si>
    <t>Porcentaje de Reprobados (%)</t>
  </si>
  <si>
    <t>Lenguaje</t>
  </si>
  <si>
    <t>Quechua</t>
  </si>
  <si>
    <t>Literature</t>
  </si>
  <si>
    <t>Artes Plásticas</t>
  </si>
  <si>
    <t>Física</t>
  </si>
  <si>
    <t>Química</t>
  </si>
  <si>
    <t>Educación Física</t>
  </si>
  <si>
    <t>Promedio Inglés</t>
  </si>
  <si>
    <t>Promedio Lenguaje</t>
  </si>
  <si>
    <t>Cos. Filosofía - Sicología</t>
  </si>
  <si>
    <t>-------------------------------------------------------</t>
  </si>
  <si>
    <t>DPTO. INFORMÁTICA</t>
  </si>
  <si>
    <t>CONSEJERO(A)</t>
  </si>
  <si>
    <t>DIRECTOR(A)</t>
  </si>
  <si>
    <t>Tec. Tecnológica</t>
  </si>
  <si>
    <t>T1</t>
  </si>
  <si>
    <t>T2</t>
  </si>
  <si>
    <t>T3</t>
  </si>
  <si>
    <t>Sociales</t>
  </si>
  <si>
    <t>Biología
Geografía</t>
  </si>
  <si>
    <t>PA</t>
  </si>
  <si>
    <t>P1</t>
  </si>
  <si>
    <t>P2</t>
  </si>
  <si>
    <t>P3</t>
  </si>
  <si>
    <t>PF</t>
  </si>
  <si>
    <t>1 de 2</t>
  </si>
  <si>
    <t>1 de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</si>
</sst>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$&quot;#.00"/>
    <numFmt numFmtId="165" formatCode="_(&quot;$&quot;* #,##0_);_(&quot;$&quot;* \(#,##0\);_(&quot;$&quot;* &quot;-&quot;_);_(@_)"/>
    <numFmt numFmtId="166" formatCode="#.00"/>
    <numFmt numFmtId="167" formatCode="%#.00"/>
  </numFmts>
  <fonts count="31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2"/>
      <name val="Courier"/>
      <family val="3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"/>
      <color indexed="8"/>
      <name val="Courier"/>
      <family val="3"/>
    </font>
    <font>
      <i/>
      <sz val="11"/>
      <color indexed="23"/>
      <name val="Calibri"/>
      <family val="2"/>
    </font>
    <font>
      <i/>
      <sz val="1"/>
      <color indexed="8"/>
      <name val="Courier"/>
      <family val="3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"/>
      <color indexed="8"/>
      <name val="Courier"/>
      <family val="3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sz val="11"/>
      <color indexed="10"/>
      <name val="Calibri"/>
      <family val="2"/>
    </font>
    <font>
      <b/>
      <sz val="11"/>
      <color indexed="8"/>
      <name val="Arial"/>
      <family val="2"/>
    </font>
    <font>
      <b/>
      <sz val="9"/>
      <color indexed="8"/>
      <name val="Arial"/>
      <family val="2"/>
    </font>
    <font>
      <b/>
      <sz val="8"/>
      <color indexed="8"/>
      <name val="Arial"/>
      <family val="2"/>
    </font>
    <font>
      <b/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8"/>
      <color theme="1"/>
      <name val="Arial"/>
      <family val="2"/>
    </font>
    <font>
      <b/>
      <sz val="9"/>
      <color theme="1"/>
      <name val="Arial"/>
      <family val="2"/>
    </font>
  </fonts>
  <fills count="24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6"/>
      </patternFill>
    </fill>
    <fill>
      <patternFill patternType="solid">
        <fgColor theme="0" tint="-0.249977111117893"/>
        <bgColor indexed="64"/>
      </patternFill>
    </fill>
  </fills>
  <borders count="37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/>
      <top/>
      <bottom style="thin">
        <color indexed="64"/>
      </bottom>
      <diagonal/>
    </border>
  </borders>
  <cellStyleXfs count="71">
    <xf numFmtId="0" fontId="0" fillId="0" borderId="0"/>
    <xf numFmtId="0" fontId="4" fillId="2" borderId="0" applyNumberFormat="0" applyBorder="0" applyAlignment="0" applyProtection="0"/>
    <xf numFmtId="0" fontId="1" fillId="2" borderId="0" applyNumberFormat="0" applyBorder="0" applyAlignment="0" applyProtection="0"/>
    <xf numFmtId="0" fontId="4" fillId="3" borderId="0" applyNumberFormat="0" applyBorder="0" applyAlignment="0" applyProtection="0"/>
    <xf numFmtId="0" fontId="1" fillId="3" borderId="0" applyNumberFormat="0" applyBorder="0" applyAlignment="0" applyProtection="0"/>
    <xf numFmtId="0" fontId="4" fillId="4" borderId="0" applyNumberFormat="0" applyBorder="0" applyAlignment="0" applyProtection="0"/>
    <xf numFmtId="0" fontId="1" fillId="4" borderId="0" applyNumberFormat="0" applyBorder="0" applyAlignment="0" applyProtection="0"/>
    <xf numFmtId="0" fontId="4" fillId="5" borderId="0" applyNumberFormat="0" applyBorder="0" applyAlignment="0" applyProtection="0"/>
    <xf numFmtId="0" fontId="1" fillId="5" borderId="0" applyNumberFormat="0" applyBorder="0" applyAlignment="0" applyProtection="0"/>
    <xf numFmtId="0" fontId="4" fillId="6" borderId="0" applyNumberFormat="0" applyBorder="0" applyAlignment="0" applyProtection="0"/>
    <xf numFmtId="0" fontId="1" fillId="6" borderId="0" applyNumberFormat="0" applyBorder="0" applyAlignment="0" applyProtection="0"/>
    <xf numFmtId="0" fontId="4" fillId="7" borderId="0" applyNumberFormat="0" applyBorder="0" applyAlignment="0" applyProtection="0"/>
    <xf numFmtId="0" fontId="1" fillId="7" borderId="0" applyNumberFormat="0" applyBorder="0" applyAlignment="0" applyProtection="0"/>
    <xf numFmtId="0" fontId="4" fillId="8" borderId="0" applyNumberFormat="0" applyBorder="0" applyAlignment="0" applyProtection="0"/>
    <xf numFmtId="0" fontId="1" fillId="8" borderId="0" applyNumberFormat="0" applyBorder="0" applyAlignment="0" applyProtection="0"/>
    <xf numFmtId="0" fontId="4" fillId="9" borderId="0" applyNumberFormat="0" applyBorder="0" applyAlignment="0" applyProtection="0"/>
    <xf numFmtId="0" fontId="1" fillId="9" borderId="0" applyNumberFormat="0" applyBorder="0" applyAlignment="0" applyProtection="0"/>
    <xf numFmtId="0" fontId="4" fillId="10" borderId="0" applyNumberFormat="0" applyBorder="0" applyAlignment="0" applyProtection="0"/>
    <xf numFmtId="0" fontId="1" fillId="10" borderId="0" applyNumberFormat="0" applyBorder="0" applyAlignment="0" applyProtection="0"/>
    <xf numFmtId="0" fontId="4" fillId="5" borderId="0" applyNumberFormat="0" applyBorder="0" applyAlignment="0" applyProtection="0"/>
    <xf numFmtId="0" fontId="1" fillId="5" borderId="0" applyNumberFormat="0" applyBorder="0" applyAlignment="0" applyProtection="0"/>
    <xf numFmtId="0" fontId="4" fillId="8" borderId="0" applyNumberFormat="0" applyBorder="0" applyAlignment="0" applyProtection="0"/>
    <xf numFmtId="0" fontId="1" fillId="8" borderId="0" applyNumberFormat="0" applyBorder="0" applyAlignment="0" applyProtection="0"/>
    <xf numFmtId="0" fontId="4" fillId="11" borderId="0" applyNumberFormat="0" applyBorder="0" applyAlignment="0" applyProtection="0"/>
    <xf numFmtId="0" fontId="1" fillId="11" borderId="0" applyNumberFormat="0" applyBorder="0" applyAlignment="0" applyProtection="0"/>
    <xf numFmtId="0" fontId="5" fillId="12" borderId="0" applyNumberFormat="0" applyBorder="0" applyAlignment="0" applyProtection="0"/>
    <xf numFmtId="0" fontId="5" fillId="9" borderId="0" applyNumberFormat="0" applyBorder="0" applyAlignment="0" applyProtection="0"/>
    <xf numFmtId="0" fontId="5" fillId="10" borderId="0" applyNumberFormat="0" applyBorder="0" applyAlignment="0" applyProtection="0"/>
    <xf numFmtId="0" fontId="5" fillId="13" borderId="0" applyNumberFormat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6" borderId="0" applyNumberFormat="0" applyBorder="0" applyAlignment="0" applyProtection="0"/>
    <xf numFmtId="0" fontId="5" fillId="17" borderId="0" applyNumberFormat="0" applyBorder="0" applyAlignment="0" applyProtection="0"/>
    <xf numFmtId="0" fontId="5" fillId="18" borderId="0" applyNumberFormat="0" applyBorder="0" applyAlignment="0" applyProtection="0"/>
    <xf numFmtId="0" fontId="5" fillId="13" borderId="0" applyNumberFormat="0" applyBorder="0" applyAlignment="0" applyProtection="0"/>
    <xf numFmtId="0" fontId="5" fillId="14" borderId="0" applyNumberFormat="0" applyBorder="0" applyAlignment="0" applyProtection="0"/>
    <xf numFmtId="0" fontId="5" fillId="19" borderId="0" applyNumberFormat="0" applyBorder="0" applyAlignment="0" applyProtection="0"/>
    <xf numFmtId="0" fontId="6" fillId="3" borderId="0" applyNumberFormat="0" applyBorder="0" applyAlignment="0" applyProtection="0"/>
    <xf numFmtId="0" fontId="7" fillId="20" borderId="1" applyNumberFormat="0" applyAlignment="0" applyProtection="0"/>
    <xf numFmtId="0" fontId="8" fillId="21" borderId="2" applyNumberFormat="0" applyAlignment="0" applyProtection="0"/>
    <xf numFmtId="4" fontId="9" fillId="0" borderId="0">
      <protection locked="0"/>
    </xf>
    <xf numFmtId="164" fontId="9" fillId="0" borderId="0">
      <protection locked="0"/>
    </xf>
    <xf numFmtId="165" fontId="9" fillId="0" borderId="0">
      <protection locked="0"/>
    </xf>
    <xf numFmtId="0" fontId="10" fillId="0" borderId="0" applyNumberFormat="0" applyFill="0" applyBorder="0" applyAlignment="0" applyProtection="0"/>
    <xf numFmtId="165" fontId="9" fillId="0" borderId="0">
      <protection locked="0"/>
    </xf>
    <xf numFmtId="165" fontId="9" fillId="0" borderId="0">
      <protection locked="0"/>
    </xf>
    <xf numFmtId="165" fontId="11" fillId="0" borderId="0">
      <protection locked="0"/>
    </xf>
    <xf numFmtId="165" fontId="9" fillId="0" borderId="0">
      <protection locked="0"/>
    </xf>
    <xf numFmtId="165" fontId="9" fillId="0" borderId="0">
      <protection locked="0"/>
    </xf>
    <xf numFmtId="165" fontId="9" fillId="0" borderId="0">
      <protection locked="0"/>
    </xf>
    <xf numFmtId="165" fontId="11" fillId="0" borderId="0">
      <protection locked="0"/>
    </xf>
    <xf numFmtId="166" fontId="9" fillId="0" borderId="0">
      <protection locked="0"/>
    </xf>
    <xf numFmtId="0" fontId="12" fillId="4" borderId="0" applyNumberFormat="0" applyBorder="0" applyAlignment="0" applyProtection="0"/>
    <xf numFmtId="0" fontId="13" fillId="0" borderId="4" applyNumberFormat="0" applyFill="0" applyAlignment="0" applyProtection="0"/>
    <xf numFmtId="0" fontId="14" fillId="0" borderId="5" applyNumberFormat="0" applyFill="0" applyAlignment="0" applyProtection="0"/>
    <xf numFmtId="0" fontId="15" fillId="0" borderId="6" applyNumberFormat="0" applyFill="0" applyAlignment="0" applyProtection="0"/>
    <xf numFmtId="0" fontId="15" fillId="0" borderId="0" applyNumberFormat="0" applyFill="0" applyBorder="0" applyAlignment="0" applyProtection="0"/>
    <xf numFmtId="165" fontId="16" fillId="0" borderId="0">
      <protection locked="0"/>
    </xf>
    <xf numFmtId="165" fontId="16" fillId="0" borderId="0">
      <protection locked="0"/>
    </xf>
    <xf numFmtId="0" fontId="17" fillId="7" borderId="1" applyNumberFormat="0" applyAlignment="0" applyProtection="0"/>
    <xf numFmtId="0" fontId="18" fillId="0" borderId="3" applyNumberFormat="0" applyFill="0" applyAlignment="0" applyProtection="0"/>
    <xf numFmtId="0" fontId="3" fillId="0" borderId="0"/>
    <xf numFmtId="0" fontId="2" fillId="0" borderId="0"/>
    <xf numFmtId="0" fontId="4" fillId="22" borderId="7" applyNumberFormat="0" applyFont="0" applyAlignment="0" applyProtection="0"/>
    <xf numFmtId="0" fontId="1" fillId="22" borderId="7" applyNumberFormat="0" applyFont="0" applyAlignment="0" applyProtection="0"/>
    <xf numFmtId="0" fontId="19" fillId="20" borderId="8" applyNumberFormat="0" applyAlignment="0" applyProtection="0"/>
    <xf numFmtId="167" fontId="9" fillId="0" borderId="0">
      <protection locked="0"/>
    </xf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21" fillId="0" borderId="0" applyNumberFormat="0" applyFill="0" applyBorder="0" applyAlignment="0" applyProtection="0"/>
  </cellStyleXfs>
  <cellXfs count="145">
    <xf numFmtId="0" fontId="0" fillId="0" borderId="0" xfId="0"/>
    <xf numFmtId="0" fontId="0" fillId="0" borderId="0" xfId="0" applyAlignment="1">
      <alignment horizontal="center"/>
    </xf>
    <xf numFmtId="0" fontId="25" fillId="0" borderId="9" xfId="0" applyFont="1" applyBorder="1" applyAlignment="1">
      <alignment horizontal="center" vertical="center"/>
    </xf>
    <xf numFmtId="0" fontId="25" fillId="0" borderId="12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1" xfId="0" applyFont="1" applyBorder="1" applyAlignment="1">
      <alignment horizontal="center" vertical="center"/>
    </xf>
    <xf numFmtId="0" fontId="25" fillId="0" borderId="13" xfId="0" applyFont="1" applyBorder="1" applyAlignment="1">
      <alignment horizontal="center" vertical="center"/>
    </xf>
    <xf numFmtId="0" fontId="25" fillId="23" borderId="9" xfId="0" applyFont="1" applyFill="1" applyBorder="1" applyAlignment="1">
      <alignment horizontal="center" vertical="center"/>
    </xf>
    <xf numFmtId="0" fontId="25" fillId="23" borderId="12" xfId="0" applyFont="1" applyFill="1" applyBorder="1" applyAlignment="1">
      <alignment horizontal="center" vertical="center"/>
    </xf>
    <xf numFmtId="0" fontId="25" fillId="23" borderId="10" xfId="0" applyFont="1" applyFill="1" applyBorder="1" applyAlignment="1">
      <alignment horizontal="center" vertical="center"/>
    </xf>
    <xf numFmtId="0" fontId="25" fillId="23" borderId="11" xfId="0" applyFont="1" applyFill="1" applyBorder="1" applyAlignment="1">
      <alignment horizontal="center" vertical="center"/>
    </xf>
    <xf numFmtId="0" fontId="27" fillId="0" borderId="12" xfId="0" applyFont="1" applyBorder="1" applyAlignment="1">
      <alignment horizontal="center" vertical="center"/>
    </xf>
    <xf numFmtId="0" fontId="27" fillId="0" borderId="10" xfId="0" applyFont="1" applyBorder="1" applyAlignment="1">
      <alignment horizontal="center" vertical="center"/>
    </xf>
    <xf numFmtId="0" fontId="27" fillId="0" borderId="13" xfId="0" applyFont="1" applyBorder="1" applyAlignment="1">
      <alignment horizontal="center" vertical="center"/>
    </xf>
    <xf numFmtId="0" fontId="27" fillId="0" borderId="9" xfId="0" applyFont="1" applyBorder="1" applyAlignment="1">
      <alignment horizontal="center" vertical="center"/>
    </xf>
    <xf numFmtId="0" fontId="27" fillId="0" borderId="11" xfId="0" applyFont="1" applyBorder="1" applyAlignment="1">
      <alignment horizontal="center" vertical="center"/>
    </xf>
    <xf numFmtId="0" fontId="27" fillId="0" borderId="17" xfId="0" applyFont="1" applyBorder="1" applyAlignment="1">
      <alignment horizontal="center" vertical="center"/>
    </xf>
    <xf numFmtId="0" fontId="27" fillId="0" borderId="21" xfId="0" applyFont="1" applyBorder="1"/>
    <xf numFmtId="0" fontId="25" fillId="0" borderId="27" xfId="0" applyFont="1" applyBorder="1" applyAlignment="1">
      <alignment horizontal="center" vertical="center" shrinkToFit="1"/>
    </xf>
    <xf numFmtId="0" fontId="25" fillId="0" borderId="24" xfId="0" applyFont="1" applyBorder="1" applyAlignment="1">
      <alignment horizontal="center" vertical="center" shrinkToFit="1"/>
    </xf>
    <xf numFmtId="0" fontId="25" fillId="0" borderId="25" xfId="0" applyFont="1" applyBorder="1" applyAlignment="1">
      <alignment horizontal="center" vertical="center" shrinkToFit="1"/>
    </xf>
    <xf numFmtId="0" fontId="25" fillId="0" borderId="28" xfId="0" applyFont="1" applyBorder="1" applyAlignment="1">
      <alignment horizontal="center" vertical="center" shrinkToFit="1"/>
    </xf>
    <xf numFmtId="0" fontId="25" fillId="0" borderId="26" xfId="0" applyFont="1" applyBorder="1" applyAlignment="1">
      <alignment horizontal="center" vertical="center" shrinkToFit="1"/>
    </xf>
    <xf numFmtId="0" fontId="25" fillId="23" borderId="27" xfId="0" applyFont="1" applyFill="1" applyBorder="1" applyAlignment="1">
      <alignment horizontal="center" vertical="center" shrinkToFit="1"/>
    </xf>
    <xf numFmtId="0" fontId="25" fillId="23" borderId="24" xfId="0" applyFont="1" applyFill="1" applyBorder="1" applyAlignment="1">
      <alignment horizontal="center" vertical="center" shrinkToFit="1"/>
    </xf>
    <xf numFmtId="0" fontId="25" fillId="23" borderId="25" xfId="0" applyFont="1" applyFill="1" applyBorder="1" applyAlignment="1">
      <alignment horizontal="center" vertical="center" shrinkToFit="1"/>
    </xf>
    <xf numFmtId="1" fontId="25" fillId="23" borderId="28" xfId="0" applyNumberFormat="1" applyFont="1" applyFill="1" applyBorder="1" applyAlignment="1">
      <alignment horizontal="center" vertical="center" shrinkToFit="1"/>
    </xf>
    <xf numFmtId="0" fontId="27" fillId="0" borderId="24" xfId="0" applyFont="1" applyBorder="1" applyAlignment="1">
      <alignment horizontal="center" vertical="center" shrinkToFit="1"/>
    </xf>
    <xf numFmtId="0" fontId="27" fillId="0" borderId="25" xfId="0" applyFont="1" applyBorder="1" applyAlignment="1">
      <alignment horizontal="center" vertical="center" shrinkToFit="1"/>
    </xf>
    <xf numFmtId="0" fontId="27" fillId="0" borderId="26" xfId="0" applyFont="1" applyBorder="1" applyAlignment="1">
      <alignment horizontal="center" vertical="center" shrinkToFit="1"/>
    </xf>
    <xf numFmtId="0" fontId="27" fillId="0" borderId="27" xfId="0" applyFont="1" applyBorder="1" applyAlignment="1">
      <alignment horizontal="center" vertical="center" shrinkToFit="1"/>
    </xf>
    <xf numFmtId="0" fontId="27" fillId="0" borderId="28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/>
    </xf>
    <xf numFmtId="0" fontId="27" fillId="0" borderId="22" xfId="0" applyFont="1" applyBorder="1"/>
    <xf numFmtId="0" fontId="25" fillId="0" borderId="14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15" xfId="0" applyFont="1" applyBorder="1" applyAlignment="1">
      <alignment horizontal="center" vertical="center" shrinkToFit="1"/>
    </xf>
    <xf numFmtId="0" fontId="25" fillId="0" borderId="16" xfId="0" applyFont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shrinkToFit="1"/>
    </xf>
    <xf numFmtId="0" fontId="25" fillId="23" borderId="14" xfId="0" applyFont="1" applyFill="1" applyBorder="1" applyAlignment="1">
      <alignment horizontal="center" vertical="center" shrinkToFit="1"/>
    </xf>
    <xf numFmtId="0" fontId="25" fillId="23" borderId="19" xfId="0" applyFont="1" applyFill="1" applyBorder="1" applyAlignment="1">
      <alignment horizontal="center" vertical="center" shrinkToFit="1"/>
    </xf>
    <xf numFmtId="0" fontId="25" fillId="23" borderId="15" xfId="0" applyFont="1" applyFill="1" applyBorder="1" applyAlignment="1">
      <alignment horizontal="center" vertical="center" shrinkToFit="1"/>
    </xf>
    <xf numFmtId="1" fontId="25" fillId="23" borderId="16" xfId="0" applyNumberFormat="1" applyFont="1" applyFill="1" applyBorder="1" applyAlignment="1">
      <alignment horizontal="center" vertical="center" shrinkToFit="1"/>
    </xf>
    <xf numFmtId="0" fontId="27" fillId="0" borderId="19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20" xfId="0" applyFont="1" applyBorder="1" applyAlignment="1">
      <alignment horizontal="center" vertical="center" shrinkToFit="1"/>
    </xf>
    <xf numFmtId="0" fontId="27" fillId="0" borderId="14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22" xfId="0" applyFont="1" applyBorder="1" applyAlignment="1"/>
    <xf numFmtId="0" fontId="27" fillId="0" borderId="23" xfId="0" applyFont="1" applyBorder="1" applyAlignment="1">
      <alignment horizontal="center" vertical="center"/>
    </xf>
    <xf numFmtId="0" fontId="27" fillId="0" borderId="23" xfId="0" applyFont="1" applyBorder="1"/>
    <xf numFmtId="0" fontId="25" fillId="0" borderId="9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5" fillId="0" borderId="10" xfId="0" applyFont="1" applyBorder="1" applyAlignment="1">
      <alignment horizontal="center" vertical="center" shrinkToFit="1"/>
    </xf>
    <xf numFmtId="0" fontId="25" fillId="0" borderId="11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23" borderId="9" xfId="0" applyFont="1" applyFill="1" applyBorder="1" applyAlignment="1">
      <alignment horizontal="center" vertical="center" shrinkToFit="1"/>
    </xf>
    <xf numFmtId="0" fontId="25" fillId="23" borderId="12" xfId="0" applyFont="1" applyFill="1" applyBorder="1" applyAlignment="1">
      <alignment horizontal="center" vertical="center" shrinkToFit="1"/>
    </xf>
    <xf numFmtId="0" fontId="25" fillId="23" borderId="10" xfId="0" applyFont="1" applyFill="1" applyBorder="1" applyAlignment="1">
      <alignment horizontal="center" vertical="center" shrinkToFit="1"/>
    </xf>
    <xf numFmtId="1" fontId="25" fillId="23" borderId="11" xfId="0" applyNumberFormat="1" applyFont="1" applyFill="1" applyBorder="1" applyAlignment="1">
      <alignment horizontal="center" vertical="center" shrinkToFit="1"/>
    </xf>
    <xf numFmtId="0" fontId="27" fillId="0" borderId="12" xfId="0" applyFont="1" applyBorder="1" applyAlignment="1">
      <alignment horizontal="center" vertical="center" shrinkToFit="1"/>
    </xf>
    <xf numFmtId="0" fontId="27" fillId="0" borderId="10" xfId="0" applyFont="1" applyBorder="1" applyAlignment="1">
      <alignment horizontal="center" vertical="center" shrinkToFit="1"/>
    </xf>
    <xf numFmtId="0" fontId="27" fillId="0" borderId="13" xfId="0" applyFont="1" applyBorder="1" applyAlignment="1">
      <alignment horizontal="center" vertical="center" shrinkToFit="1"/>
    </xf>
    <xf numFmtId="0" fontId="27" fillId="0" borderId="9" xfId="0" applyFont="1" applyBorder="1" applyAlignment="1">
      <alignment horizontal="center" vertical="center" shrinkToFit="1"/>
    </xf>
    <xf numFmtId="0" fontId="27" fillId="0" borderId="11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/>
    </xf>
    <xf numFmtId="0" fontId="25" fillId="0" borderId="19" xfId="0" applyFont="1" applyBorder="1" applyAlignment="1">
      <alignment horizontal="center" vertical="center"/>
    </xf>
    <xf numFmtId="0" fontId="25" fillId="0" borderId="15" xfId="0" applyFont="1" applyBorder="1" applyAlignment="1">
      <alignment horizontal="center" vertical="center"/>
    </xf>
    <xf numFmtId="0" fontId="25" fillId="0" borderId="16" xfId="0" applyFont="1" applyBorder="1" applyAlignment="1">
      <alignment horizontal="center" vertical="center"/>
    </xf>
    <xf numFmtId="0" fontId="25" fillId="0" borderId="20" xfId="0" applyFont="1" applyBorder="1" applyAlignment="1">
      <alignment horizontal="center" vertical="center"/>
    </xf>
    <xf numFmtId="0" fontId="25" fillId="23" borderId="14" xfId="0" applyFont="1" applyFill="1" applyBorder="1" applyAlignment="1">
      <alignment horizontal="center" vertical="center"/>
    </xf>
    <xf numFmtId="0" fontId="25" fillId="23" borderId="19" xfId="0" applyFont="1" applyFill="1" applyBorder="1" applyAlignment="1">
      <alignment horizontal="center" vertical="center"/>
    </xf>
    <xf numFmtId="0" fontId="25" fillId="23" borderId="15" xfId="0" applyFont="1" applyFill="1" applyBorder="1" applyAlignment="1">
      <alignment horizontal="center" vertical="center"/>
    </xf>
    <xf numFmtId="0" fontId="25" fillId="23" borderId="16" xfId="0" applyFont="1" applyFill="1" applyBorder="1" applyAlignment="1">
      <alignment horizontal="center" vertical="center"/>
    </xf>
    <xf numFmtId="0" fontId="27" fillId="0" borderId="19" xfId="0" applyFont="1" applyBorder="1" applyAlignment="1">
      <alignment horizontal="center" vertical="center"/>
    </xf>
    <xf numFmtId="0" fontId="27" fillId="0" borderId="15" xfId="0" applyFont="1" applyBorder="1" applyAlignment="1">
      <alignment horizontal="center" vertical="center"/>
    </xf>
    <xf numFmtId="0" fontId="27" fillId="0" borderId="20" xfId="0" applyFont="1" applyBorder="1" applyAlignment="1">
      <alignment horizontal="center" vertical="center"/>
    </xf>
    <xf numFmtId="0" fontId="27" fillId="0" borderId="14" xfId="0" applyFont="1" applyBorder="1" applyAlignment="1">
      <alignment horizontal="center" vertical="center"/>
    </xf>
    <xf numFmtId="0" fontId="27" fillId="0" borderId="16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quotePrefix="1" applyAlignment="1"/>
    <xf numFmtId="0" fontId="0" fillId="0" borderId="0" xfId="0" applyAlignment="1"/>
    <xf numFmtId="1" fontId="25" fillId="0" borderId="9" xfId="0" applyNumberFormat="1" applyFont="1" applyBorder="1" applyAlignment="1">
      <alignment horizontal="center" vertical="center"/>
    </xf>
    <xf numFmtId="1" fontId="25" fillId="0" borderId="12" xfId="0" applyNumberFormat="1" applyFont="1" applyBorder="1" applyAlignment="1">
      <alignment horizontal="center" vertical="center"/>
    </xf>
    <xf numFmtId="1" fontId="25" fillId="0" borderId="10" xfId="0" applyNumberFormat="1" applyFont="1" applyBorder="1" applyAlignment="1">
      <alignment horizontal="center" vertical="center"/>
    </xf>
    <xf numFmtId="1" fontId="25" fillId="0" borderId="11" xfId="0" applyNumberFormat="1" applyFont="1" applyBorder="1" applyAlignment="1">
      <alignment horizontal="center" vertical="center"/>
    </xf>
    <xf numFmtId="1" fontId="25" fillId="0" borderId="13" xfId="0" applyNumberFormat="1" applyFont="1" applyBorder="1" applyAlignment="1">
      <alignment horizontal="center" vertical="center"/>
    </xf>
    <xf numFmtId="1" fontId="25" fillId="23" borderId="9" xfId="0" applyNumberFormat="1" applyFont="1" applyFill="1" applyBorder="1" applyAlignment="1">
      <alignment horizontal="center" vertical="center"/>
    </xf>
    <xf numFmtId="1" fontId="25" fillId="23" borderId="12" xfId="0" applyNumberFormat="1" applyFont="1" applyFill="1" applyBorder="1" applyAlignment="1">
      <alignment horizontal="center" vertical="center"/>
    </xf>
    <xf numFmtId="1" fontId="25" fillId="23" borderId="10" xfId="0" applyNumberFormat="1" applyFont="1" applyFill="1" applyBorder="1" applyAlignment="1">
      <alignment horizontal="center" vertical="center"/>
    </xf>
    <xf numFmtId="1" fontId="25" fillId="23" borderId="11" xfId="0" applyNumberFormat="1" applyFont="1" applyFill="1" applyBorder="1" applyAlignment="1">
      <alignment horizontal="center" vertical="center"/>
    </xf>
    <xf numFmtId="1" fontId="27" fillId="0" borderId="12" xfId="0" applyNumberFormat="1" applyFont="1" applyBorder="1" applyAlignment="1">
      <alignment horizontal="center" vertical="center"/>
    </xf>
    <xf numFmtId="1" fontId="27" fillId="0" borderId="10" xfId="0" applyNumberFormat="1" applyFont="1" applyBorder="1" applyAlignment="1">
      <alignment horizontal="center" vertical="center"/>
    </xf>
    <xf numFmtId="1" fontId="27" fillId="0" borderId="13" xfId="0" applyNumberFormat="1" applyFont="1" applyBorder="1" applyAlignment="1">
      <alignment horizontal="center" vertical="center"/>
    </xf>
    <xf numFmtId="1" fontId="27" fillId="0" borderId="9" xfId="0" applyNumberFormat="1" applyFont="1" applyBorder="1" applyAlignment="1">
      <alignment horizontal="center" vertical="center"/>
    </xf>
    <xf numFmtId="1" fontId="27" fillId="0" borderId="11" xfId="0" applyNumberFormat="1" applyFont="1" applyBorder="1" applyAlignment="1">
      <alignment horizontal="center" vertical="center"/>
    </xf>
    <xf numFmtId="0" fontId="0" fillId="0" borderId="0" xfId="0" quotePrefix="1" applyAlignment="1">
      <alignment horizontal="center"/>
    </xf>
    <xf numFmtId="0" fontId="0" fillId="0" borderId="0" xfId="0" applyAlignment="1">
      <alignment horizontal="center"/>
    </xf>
    <xf numFmtId="0" fontId="28" fillId="0" borderId="36" xfId="0" applyFont="1" applyBorder="1" applyAlignment="1">
      <alignment horizontal="center"/>
    </xf>
    <xf numFmtId="0" fontId="30" fillId="0" borderId="0" xfId="0" applyFont="1" applyAlignment="1">
      <alignment horizontal="center"/>
    </xf>
    <xf numFmtId="0" fontId="29" fillId="0" borderId="0" xfId="0" applyFont="1" applyAlignment="1">
      <alignment horizontal="center"/>
    </xf>
    <xf numFmtId="0" fontId="27" fillId="0" borderId="17" xfId="0" applyFont="1" applyBorder="1" applyAlignment="1">
      <alignment horizontal="center"/>
    </xf>
    <xf numFmtId="0" fontId="27" fillId="0" borderId="35" xfId="0" applyFont="1" applyBorder="1" applyAlignment="1">
      <alignment horizontal="center"/>
    </xf>
    <xf numFmtId="0" fontId="27" fillId="0" borderId="29" xfId="0" applyFont="1" applyBorder="1" applyAlignment="1">
      <alignment horizontal="center"/>
    </xf>
    <xf numFmtId="0" fontId="25" fillId="0" borderId="17" xfId="0" applyFont="1" applyBorder="1" applyAlignment="1">
      <alignment horizontal="center" wrapText="1"/>
    </xf>
    <xf numFmtId="0" fontId="25" fillId="0" borderId="35" xfId="0" applyFont="1" applyBorder="1" applyAlignment="1">
      <alignment horizontal="center" wrapText="1"/>
    </xf>
    <xf numFmtId="0" fontId="25" fillId="0" borderId="29" xfId="0" applyFont="1" applyBorder="1" applyAlignment="1">
      <alignment horizontal="center" wrapText="1"/>
    </xf>
    <xf numFmtId="0" fontId="27" fillId="0" borderId="18" xfId="0" applyFont="1" applyBorder="1" applyAlignment="1">
      <alignment horizontal="center" vertical="center"/>
    </xf>
    <xf numFmtId="0" fontId="27" fillId="0" borderId="30" xfId="0" applyFont="1" applyBorder="1" applyAlignment="1">
      <alignment horizontal="center" vertical="center"/>
    </xf>
    <xf numFmtId="1" fontId="27" fillId="0" borderId="33" xfId="0" applyNumberFormat="1" applyFont="1" applyBorder="1" applyAlignment="1">
      <alignment horizontal="center" vertical="center"/>
    </xf>
    <xf numFmtId="1" fontId="27" fillId="0" borderId="34" xfId="0" applyNumberFormat="1" applyFont="1" applyBorder="1" applyAlignment="1">
      <alignment horizontal="center" vertical="center"/>
    </xf>
    <xf numFmtId="0" fontId="27" fillId="0" borderId="24" xfId="0" applyFont="1" applyBorder="1" applyAlignment="1">
      <alignment horizontal="center"/>
    </xf>
    <xf numFmtId="0" fontId="27" fillId="0" borderId="25" xfId="0" applyFont="1" applyBorder="1" applyAlignment="1">
      <alignment horizontal="center"/>
    </xf>
    <xf numFmtId="0" fontId="27" fillId="0" borderId="26" xfId="0" applyFont="1" applyBorder="1" applyAlignment="1">
      <alignment horizontal="center"/>
    </xf>
    <xf numFmtId="0" fontId="27" fillId="0" borderId="27" xfId="0" applyFont="1" applyBorder="1" applyAlignment="1">
      <alignment horizontal="center"/>
    </xf>
    <xf numFmtId="0" fontId="27" fillId="0" borderId="28" xfId="0" applyFont="1" applyBorder="1" applyAlignment="1">
      <alignment horizontal="center"/>
    </xf>
    <xf numFmtId="0" fontId="25" fillId="0" borderId="17" xfId="0" applyFont="1" applyBorder="1" applyAlignment="1">
      <alignment horizontal="center" vertical="center"/>
    </xf>
    <xf numFmtId="0" fontId="25" fillId="0" borderId="33" xfId="0" applyFont="1" applyBorder="1" applyAlignment="1">
      <alignment horizontal="center" vertical="center"/>
    </xf>
    <xf numFmtId="0" fontId="25" fillId="0" borderId="31" xfId="0" applyFont="1" applyBorder="1" applyAlignment="1">
      <alignment horizontal="center" vertical="center" wrapText="1"/>
    </xf>
    <xf numFmtId="0" fontId="25" fillId="0" borderId="32" xfId="0" applyFont="1" applyBorder="1" applyAlignment="1">
      <alignment horizontal="center" vertical="center" wrapText="1"/>
    </xf>
    <xf numFmtId="0" fontId="27" fillId="0" borderId="17" xfId="0" applyFont="1" applyBorder="1" applyAlignment="1">
      <alignment horizontal="center" vertical="center"/>
    </xf>
    <xf numFmtId="0" fontId="27" fillId="0" borderId="29" xfId="0" applyFont="1" applyBorder="1" applyAlignment="1">
      <alignment horizontal="center" vertical="center"/>
    </xf>
    <xf numFmtId="0" fontId="22" fillId="0" borderId="0" xfId="62" applyFont="1" applyFill="1" applyAlignment="1">
      <alignment horizontal="center"/>
    </xf>
    <xf numFmtId="0" fontId="24" fillId="0" borderId="0" xfId="62" applyFont="1" applyFill="1" applyAlignment="1" applyProtection="1">
      <alignment horizontal="center"/>
    </xf>
    <xf numFmtId="0" fontId="23" fillId="0" borderId="0" xfId="62" applyFont="1" applyFill="1" applyAlignment="1" applyProtection="1">
      <alignment horizontal="center"/>
    </xf>
    <xf numFmtId="0" fontId="26" fillId="0" borderId="36" xfId="0" applyFont="1" applyBorder="1" applyAlignment="1">
      <alignment horizontal="center"/>
    </xf>
    <xf numFmtId="0" fontId="25" fillId="0" borderId="24" xfId="0" applyFont="1" applyBorder="1" applyAlignment="1">
      <alignment horizontal="center"/>
    </xf>
    <xf numFmtId="0" fontId="25" fillId="0" borderId="25" xfId="0" applyFont="1" applyBorder="1" applyAlignment="1">
      <alignment horizontal="center"/>
    </xf>
    <xf numFmtId="0" fontId="25" fillId="0" borderId="26" xfId="0" applyFont="1" applyBorder="1" applyAlignment="1">
      <alignment horizontal="center"/>
    </xf>
    <xf numFmtId="0" fontId="25" fillId="23" borderId="27" xfId="0" applyFont="1" applyFill="1" applyBorder="1" applyAlignment="1">
      <alignment horizontal="center"/>
    </xf>
    <xf numFmtId="0" fontId="25" fillId="23" borderId="24" xfId="0" applyFont="1" applyFill="1" applyBorder="1" applyAlignment="1">
      <alignment horizontal="center"/>
    </xf>
    <xf numFmtId="0" fontId="25" fillId="23" borderId="25" xfId="0" applyFont="1" applyFill="1" applyBorder="1" applyAlignment="1">
      <alignment horizontal="center"/>
    </xf>
    <xf numFmtId="0" fontId="25" fillId="23" borderId="28" xfId="0" applyFont="1" applyFill="1" applyBorder="1" applyAlignment="1">
      <alignment horizontal="center"/>
    </xf>
    <xf numFmtId="0" fontId="25" fillId="0" borderId="27" xfId="0" applyFont="1" applyBorder="1" applyAlignment="1">
      <alignment horizontal="center"/>
    </xf>
    <xf numFmtId="0" fontId="25" fillId="0" borderId="28" xfId="0" applyFont="1" applyBorder="1" applyAlignment="1">
      <alignment horizontal="center"/>
    </xf>
    <xf numFmtId="0" fontId="25" fillId="0" borderId="17" xfId="0" applyFont="1" applyFill="1" applyBorder="1" applyAlignment="1">
      <alignment horizontal="center" wrapText="1"/>
    </xf>
    <xf numFmtId="0" fontId="25" fillId="0" borderId="35" xfId="0" applyFont="1" applyFill="1" applyBorder="1" applyAlignment="1">
      <alignment horizontal="center" wrapText="1"/>
    </xf>
    <xf numFmtId="0" fontId="25" fillId="0" borderId="29" xfId="0" applyFont="1" applyFill="1" applyBorder="1" applyAlignment="1">
      <alignment horizontal="center" wrapText="1"/>
    </xf>
    <xf numFmtId="0" fontId="25" fillId="0" borderId="27" xfId="0" applyFont="1" applyFill="1" applyBorder="1" applyAlignment="1">
      <alignment horizontal="center"/>
    </xf>
    <xf numFmtId="0" fontId="25" fillId="0" borderId="24" xfId="0" applyFont="1" applyFill="1" applyBorder="1" applyAlignment="1">
      <alignment horizontal="center"/>
    </xf>
    <xf numFmtId="0" fontId="25" fillId="0" borderId="25" xfId="0" applyFont="1" applyFill="1" applyBorder="1" applyAlignment="1">
      <alignment horizontal="center"/>
    </xf>
    <xf numFmtId="0" fontId="25" fillId="0" borderId="28" xfId="0" applyFont="1" applyFill="1" applyBorder="1" applyAlignment="1">
      <alignment horizontal="center"/>
    </xf>
    <xf numFmtId="0" fontId="28" fillId="0" borderId="0" xfId="0" applyFont="1" applyAlignment="1">
      <alignment horizontal="center"/>
    </xf>
    <xf numFmtId="0" fontId="27" fillId="0" borderId="33" xfId="0" applyFont="1" applyBorder="1" applyAlignment="1">
      <alignment horizontal="center" vertical="center"/>
    </xf>
    <xf numFmtId="0" fontId="27" fillId="0" borderId="34" xfId="0" applyFont="1" applyBorder="1" applyAlignment="1">
      <alignment horizontal="center" vertical="center"/>
    </xf>
  </cellXfs>
  <cellStyles count="71">
    <cellStyle name="20% - Accent1" xfId="1" xr:uid="{00000000-0005-0000-0000-000000000000}"/>
    <cellStyle name="20% - Accent1 2" xfId="2" xr:uid="{00000000-0005-0000-0000-000001000000}"/>
    <cellStyle name="20% - Accent2" xfId="3" xr:uid="{00000000-0005-0000-0000-000002000000}"/>
    <cellStyle name="20% - Accent2 2" xfId="4" xr:uid="{00000000-0005-0000-0000-000003000000}"/>
    <cellStyle name="20% - Accent3" xfId="5" xr:uid="{00000000-0005-0000-0000-000004000000}"/>
    <cellStyle name="20% - Accent3 2" xfId="6" xr:uid="{00000000-0005-0000-0000-000005000000}"/>
    <cellStyle name="20% - Accent4" xfId="7" xr:uid="{00000000-0005-0000-0000-000006000000}"/>
    <cellStyle name="20% - Accent4 2" xfId="8" xr:uid="{00000000-0005-0000-0000-000007000000}"/>
    <cellStyle name="20% - Accent5" xfId="9" xr:uid="{00000000-0005-0000-0000-000008000000}"/>
    <cellStyle name="20% - Accent5 2" xfId="10" xr:uid="{00000000-0005-0000-0000-000009000000}"/>
    <cellStyle name="20% - Accent6" xfId="11" xr:uid="{00000000-0005-0000-0000-00000A000000}"/>
    <cellStyle name="20% - Accent6 2" xfId="12" xr:uid="{00000000-0005-0000-0000-00000B000000}"/>
    <cellStyle name="40% - Accent1" xfId="13" xr:uid="{00000000-0005-0000-0000-00000C000000}"/>
    <cellStyle name="40% - Accent1 2" xfId="14" xr:uid="{00000000-0005-0000-0000-00000D000000}"/>
    <cellStyle name="40% - Accent2" xfId="15" xr:uid="{00000000-0005-0000-0000-00000E000000}"/>
    <cellStyle name="40% - Accent2 2" xfId="16" xr:uid="{00000000-0005-0000-0000-00000F000000}"/>
    <cellStyle name="40% - Accent3" xfId="17" xr:uid="{00000000-0005-0000-0000-000010000000}"/>
    <cellStyle name="40% - Accent3 2" xfId="18" xr:uid="{00000000-0005-0000-0000-000011000000}"/>
    <cellStyle name="40% - Accent4" xfId="19" xr:uid="{00000000-0005-0000-0000-000012000000}"/>
    <cellStyle name="40% - Accent4 2" xfId="20" xr:uid="{00000000-0005-0000-0000-000013000000}"/>
    <cellStyle name="40% - Accent5" xfId="21" xr:uid="{00000000-0005-0000-0000-000014000000}"/>
    <cellStyle name="40% - Accent5 2" xfId="22" xr:uid="{00000000-0005-0000-0000-000015000000}"/>
    <cellStyle name="40% - Accent6" xfId="23" xr:uid="{00000000-0005-0000-0000-000016000000}"/>
    <cellStyle name="40% - Accent6 2" xfId="24" xr:uid="{00000000-0005-0000-0000-000017000000}"/>
    <cellStyle name="60% - Accent1" xfId="25" xr:uid="{00000000-0005-0000-0000-000018000000}"/>
    <cellStyle name="60% - Accent2" xfId="26" xr:uid="{00000000-0005-0000-0000-000019000000}"/>
    <cellStyle name="60% - Accent3" xfId="27" xr:uid="{00000000-0005-0000-0000-00001A000000}"/>
    <cellStyle name="60% - Accent4" xfId="28" xr:uid="{00000000-0005-0000-0000-00001B000000}"/>
    <cellStyle name="60% - Accent5" xfId="29" xr:uid="{00000000-0005-0000-0000-00001C000000}"/>
    <cellStyle name="60% - Accent6" xfId="30" xr:uid="{00000000-0005-0000-0000-00001D000000}"/>
    <cellStyle name="Accent1" xfId="31" xr:uid="{00000000-0005-0000-0000-00001E000000}"/>
    <cellStyle name="Accent2" xfId="32" xr:uid="{00000000-0005-0000-0000-00001F000000}"/>
    <cellStyle name="Accent3" xfId="33" xr:uid="{00000000-0005-0000-0000-000020000000}"/>
    <cellStyle name="Accent4" xfId="34" xr:uid="{00000000-0005-0000-0000-000021000000}"/>
    <cellStyle name="Accent5" xfId="35" xr:uid="{00000000-0005-0000-0000-000022000000}"/>
    <cellStyle name="Accent6" xfId="36" xr:uid="{00000000-0005-0000-0000-000023000000}"/>
    <cellStyle name="Bad" xfId="37" xr:uid="{00000000-0005-0000-0000-000024000000}"/>
    <cellStyle name="Calculation" xfId="38" xr:uid="{00000000-0005-0000-0000-000025000000}"/>
    <cellStyle name="Check Cell" xfId="39" xr:uid="{00000000-0005-0000-0000-000026000000}"/>
    <cellStyle name="Comma" xfId="40" xr:uid="{00000000-0005-0000-0000-000027000000}"/>
    <cellStyle name="Currency" xfId="41" xr:uid="{00000000-0005-0000-0000-000028000000}"/>
    <cellStyle name="Date" xfId="42" xr:uid="{00000000-0005-0000-0000-000029000000}"/>
    <cellStyle name="Explanatory Text" xfId="43" xr:uid="{00000000-0005-0000-0000-00002A000000}"/>
    <cellStyle name="F2" xfId="44" xr:uid="{00000000-0005-0000-0000-00002B000000}"/>
    <cellStyle name="F3" xfId="45" xr:uid="{00000000-0005-0000-0000-00002C000000}"/>
    <cellStyle name="F4" xfId="46" xr:uid="{00000000-0005-0000-0000-00002D000000}"/>
    <cellStyle name="F5" xfId="47" xr:uid="{00000000-0005-0000-0000-00002E000000}"/>
    <cellStyle name="F6" xfId="48" xr:uid="{00000000-0005-0000-0000-00002F000000}"/>
    <cellStyle name="F7" xfId="49" xr:uid="{00000000-0005-0000-0000-000030000000}"/>
    <cellStyle name="F8" xfId="50" xr:uid="{00000000-0005-0000-0000-000031000000}"/>
    <cellStyle name="Fixed" xfId="51" xr:uid="{00000000-0005-0000-0000-000032000000}"/>
    <cellStyle name="Good" xfId="52" xr:uid="{00000000-0005-0000-0000-000033000000}"/>
    <cellStyle name="Heading 1" xfId="53" xr:uid="{00000000-0005-0000-0000-000034000000}"/>
    <cellStyle name="Heading 2" xfId="54" xr:uid="{00000000-0005-0000-0000-000035000000}"/>
    <cellStyle name="Heading 3" xfId="55" xr:uid="{00000000-0005-0000-0000-000036000000}"/>
    <cellStyle name="Heading 4" xfId="56" xr:uid="{00000000-0005-0000-0000-000037000000}"/>
    <cellStyle name="Heading1" xfId="57" xr:uid="{00000000-0005-0000-0000-000038000000}"/>
    <cellStyle name="Heading2" xfId="58" xr:uid="{00000000-0005-0000-0000-000039000000}"/>
    <cellStyle name="Input" xfId="59" xr:uid="{00000000-0005-0000-0000-00003A000000}"/>
    <cellStyle name="Linked Cell" xfId="60" xr:uid="{00000000-0005-0000-0000-00003B000000}"/>
    <cellStyle name="Normal" xfId="0" builtinId="0"/>
    <cellStyle name="Normal 2" xfId="61" xr:uid="{00000000-0005-0000-0000-00003D000000}"/>
    <cellStyle name="Normal_TRIM3y4" xfId="62" xr:uid="{00000000-0005-0000-0000-00003E000000}"/>
    <cellStyle name="Note" xfId="63" xr:uid="{00000000-0005-0000-0000-00003F000000}"/>
    <cellStyle name="Note 2" xfId="64" xr:uid="{00000000-0005-0000-0000-000040000000}"/>
    <cellStyle name="Output" xfId="65" xr:uid="{00000000-0005-0000-0000-000041000000}"/>
    <cellStyle name="Percent" xfId="66" xr:uid="{00000000-0005-0000-0000-000042000000}"/>
    <cellStyle name="Porcentaje 2" xfId="67" xr:uid="{00000000-0005-0000-0000-000043000000}"/>
    <cellStyle name="Porcentaje 3" xfId="68" xr:uid="{00000000-0005-0000-0000-000044000000}"/>
    <cellStyle name="Title" xfId="69" xr:uid="{00000000-0005-0000-0000-000045000000}"/>
    <cellStyle name="Warning Text" xfId="70" xr:uid="{00000000-0005-0000-0000-000046000000}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28575</xdr:rowOff>
    </xdr:from>
    <xdr:to>
      <xdr:col>1</xdr:col>
      <xdr:colOff>1047750</xdr:colOff>
      <xdr:row>3</xdr:row>
      <xdr:rowOff>114300</xdr:rowOff>
    </xdr:to>
    <xdr:pic>
      <xdr:nvPicPr>
        <xdr:cNvPr id="1056" name="1 Imagen">
          <a:extLst>
            <a:ext uri="{FF2B5EF4-FFF2-40B4-BE49-F238E27FC236}">
              <a16:creationId xmlns:a16="http://schemas.microsoft.com/office/drawing/2014/main" id="{00000000-0008-0000-0000-00002004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3350" y="28575"/>
          <a:ext cx="1085850" cy="657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58</xdr:col>
      <xdr:colOff>76200</xdr:colOff>
      <xdr:row>0</xdr:row>
      <xdr:rowOff>28575</xdr:rowOff>
    </xdr:from>
    <xdr:to>
      <xdr:col>59</xdr:col>
      <xdr:colOff>904875</xdr:colOff>
      <xdr:row>3</xdr:row>
      <xdr:rowOff>114300</xdr:rowOff>
    </xdr:to>
    <xdr:pic>
      <xdr:nvPicPr>
        <xdr:cNvPr id="3" name="1 Imagen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621125" y="28575"/>
          <a:ext cx="1085850" cy="657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CK52"/>
  <sheetViews>
    <sheetView tabSelected="1" view="pageBreakPreview" zoomScale="130" zoomScaleNormal="100" zoomScaleSheetLayoutView="130" zoomScalePageLayoutView="90" workbookViewId="0">
      <selection activeCell="C10" sqref="C10"/>
    </sheetView>
  </sheetViews>
  <sheetFormatPr baseColWidth="10" defaultRowHeight="15" x14ac:dyDescent="0.25"/>
  <cols>
    <col min="1" max="1" width="2.5703125" customWidth="1"/>
    <col min="2" max="2" width="30.7109375" customWidth="1"/>
    <col min="3" max="59" width="3.85546875" customWidth="1"/>
    <col min="60" max="60" width="32.85546875" customWidth="1"/>
    <col min="61" max="84" width="4" customWidth="1"/>
    <col min="85" max="92" width="3.5703125" customWidth="1"/>
  </cols>
  <sheetData>
    <row r="2" spans="1:84" x14ac:dyDescent="0.25">
      <c r="A2" s="122" t="s">
        <v>6</v>
      </c>
      <c r="B2" s="122"/>
      <c r="C2" s="122"/>
      <c r="D2" s="122"/>
      <c r="E2" s="122"/>
      <c r="F2" s="122"/>
      <c r="G2" s="122"/>
      <c r="H2" s="122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  <c r="AD2" s="122"/>
      <c r="AE2" s="122"/>
      <c r="AF2" s="122"/>
      <c r="AG2" s="122"/>
      <c r="AH2" s="122"/>
      <c r="AI2" s="122"/>
      <c r="AJ2" s="122"/>
      <c r="AK2" s="122"/>
      <c r="AL2" s="122"/>
      <c r="AM2" s="122"/>
      <c r="AN2" s="122"/>
      <c r="AO2" s="122"/>
      <c r="AP2" s="122"/>
      <c r="AQ2" s="122"/>
      <c r="AR2" s="122"/>
      <c r="AS2" s="122"/>
      <c r="AT2" s="122"/>
      <c r="AU2" s="122"/>
      <c r="AV2" s="122"/>
      <c r="AW2" s="122"/>
      <c r="AX2" s="122"/>
      <c r="AY2" s="122"/>
      <c r="AZ2" s="122"/>
      <c r="BA2" s="122"/>
      <c r="BB2" s="122"/>
      <c r="BC2" s="122"/>
      <c r="BD2" s="122"/>
      <c r="BE2" s="122"/>
      <c r="BF2" s="122"/>
      <c r="BG2" s="142" t="str">
        <f>A2</f>
        <v>CUADRO GENERAL DE NOTAS</v>
      </c>
      <c r="BH2" s="142"/>
      <c r="BI2" s="142"/>
      <c r="BJ2" s="142"/>
      <c r="BK2" s="142"/>
      <c r="BL2" s="142"/>
      <c r="BM2" s="142"/>
      <c r="BN2" s="142"/>
      <c r="BO2" s="142"/>
      <c r="BP2" s="142"/>
      <c r="BQ2" s="142"/>
      <c r="BR2" s="142"/>
      <c r="BS2" s="142"/>
      <c r="BT2" s="142"/>
      <c r="BU2" s="142"/>
      <c r="BV2" s="142"/>
      <c r="BW2" s="142"/>
      <c r="BX2" s="142"/>
      <c r="BY2" s="142"/>
      <c r="BZ2" s="142"/>
      <c r="CA2" s="142"/>
      <c r="CB2" s="142"/>
      <c r="CC2" s="142"/>
      <c r="CD2" s="142"/>
      <c r="CE2" s="142"/>
      <c r="CF2" s="142"/>
    </row>
    <row r="3" spans="1:84" x14ac:dyDescent="0.25">
      <c r="A3" s="123" t="s">
        <v>7</v>
      </c>
      <c r="B3" s="123"/>
      <c r="C3" s="123"/>
      <c r="D3" s="123"/>
      <c r="E3" s="123"/>
      <c r="F3" s="123"/>
      <c r="G3" s="123"/>
      <c r="H3" s="123"/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  <c r="AD3" s="123"/>
      <c r="AE3" s="123"/>
      <c r="AF3" s="123"/>
      <c r="AG3" s="123"/>
      <c r="AH3" s="123"/>
      <c r="AI3" s="123"/>
      <c r="AJ3" s="123"/>
      <c r="AK3" s="123"/>
      <c r="AL3" s="123"/>
      <c r="AM3" s="123"/>
      <c r="AN3" s="123"/>
      <c r="AO3" s="123"/>
      <c r="AP3" s="123"/>
      <c r="AQ3" s="123"/>
      <c r="AR3" s="123"/>
      <c r="AS3" s="123"/>
      <c r="AT3" s="123"/>
      <c r="AU3" s="123"/>
      <c r="AV3" s="123"/>
      <c r="AW3" s="123"/>
      <c r="AX3" s="123"/>
      <c r="AY3" s="123"/>
      <c r="AZ3" s="123"/>
      <c r="BA3" s="123"/>
      <c r="BB3" s="123"/>
      <c r="BC3" s="123"/>
      <c r="BD3" s="123"/>
      <c r="BE3" s="123"/>
      <c r="BF3" s="123"/>
      <c r="BG3" s="100" t="str">
        <f t="shared" ref="BG3:BG5" si="0">A3</f>
        <v>(CONSEJEROS Y DIRECCIONES TÉCNICAS)</v>
      </c>
      <c r="BH3" s="100"/>
      <c r="BI3" s="100"/>
      <c r="BJ3" s="100"/>
      <c r="BK3" s="100"/>
      <c r="BL3" s="100"/>
      <c r="BM3" s="100"/>
      <c r="BN3" s="100"/>
      <c r="BO3" s="100"/>
      <c r="BP3" s="100"/>
      <c r="BQ3" s="100"/>
      <c r="BR3" s="100"/>
      <c r="BS3" s="100"/>
      <c r="BT3" s="100"/>
      <c r="BU3" s="100"/>
      <c r="BV3" s="100"/>
      <c r="BW3" s="100"/>
      <c r="BX3" s="100"/>
      <c r="BY3" s="100"/>
      <c r="BZ3" s="100"/>
      <c r="CA3" s="100"/>
      <c r="CB3" s="100"/>
      <c r="CC3" s="100"/>
      <c r="CD3" s="100"/>
      <c r="CE3" s="100"/>
      <c r="CF3" s="100"/>
    </row>
    <row r="4" spans="1:84" x14ac:dyDescent="0.25">
      <c r="A4" s="124"/>
      <c r="B4" s="124"/>
      <c r="C4" s="124"/>
      <c r="D4" s="124"/>
      <c r="E4" s="124"/>
      <c r="F4" s="124"/>
      <c r="G4" s="124"/>
      <c r="H4" s="124"/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  <c r="AD4" s="124"/>
      <c r="AE4" s="124"/>
      <c r="AF4" s="124"/>
      <c r="AG4" s="124"/>
      <c r="AH4" s="124"/>
      <c r="AI4" s="124"/>
      <c r="AJ4" s="124"/>
      <c r="AK4" s="124"/>
      <c r="AL4" s="124"/>
      <c r="AM4" s="124"/>
      <c r="AN4" s="124"/>
      <c r="AO4" s="124"/>
      <c r="AP4" s="124"/>
      <c r="AQ4" s="124"/>
      <c r="AR4" s="124"/>
      <c r="AS4" s="124"/>
      <c r="AT4" s="124"/>
      <c r="AU4" s="124"/>
      <c r="AV4" s="124"/>
      <c r="AW4" s="124"/>
      <c r="AX4" s="124"/>
      <c r="AY4" s="124"/>
      <c r="AZ4" s="124"/>
      <c r="BA4" s="124"/>
      <c r="BB4" s="124"/>
      <c r="BC4" s="124"/>
      <c r="BD4" s="124"/>
      <c r="BE4" s="124"/>
      <c r="BF4" s="124"/>
      <c r="BG4" s="99">
        <f t="shared" si="0"/>
        <v>0</v>
      </c>
      <c r="BH4" s="99"/>
      <c r="BI4" s="99"/>
      <c r="BJ4" s="99"/>
      <c r="BK4" s="99"/>
      <c r="BL4" s="99"/>
      <c r="BM4" s="99"/>
      <c r="BN4" s="99"/>
      <c r="BO4" s="99"/>
      <c r="BP4" s="99"/>
      <c r="BQ4" s="99"/>
      <c r="BR4" s="99"/>
      <c r="BS4" s="99"/>
      <c r="BT4" s="99"/>
      <c r="BU4" s="99"/>
      <c r="BV4" s="99"/>
      <c r="BW4" s="99"/>
      <c r="BX4" s="99"/>
      <c r="BY4" s="99"/>
      <c r="BZ4" s="99"/>
      <c r="CA4" s="99"/>
      <c r="CB4" s="99"/>
      <c r="CC4" s="99"/>
      <c r="CD4" s="99"/>
      <c r="CE4" s="99"/>
      <c r="CF4" s="99"/>
    </row>
    <row r="5" spans="1:84" ht="15.75" customHeight="1" x14ac:dyDescent="0.25">
      <c r="A5" s="125"/>
      <c r="B5" s="125"/>
      <c r="C5" s="125"/>
      <c r="D5" s="125"/>
      <c r="E5" s="125"/>
      <c r="F5" s="125"/>
      <c r="G5" s="125"/>
      <c r="H5" s="125"/>
      <c r="I5" s="125"/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  <c r="AD5" s="125"/>
      <c r="AE5" s="125"/>
      <c r="AF5" s="125"/>
      <c r="AG5" s="125"/>
      <c r="AH5" s="125"/>
      <c r="AI5" s="125"/>
      <c r="AJ5" s="125"/>
      <c r="AK5" s="125"/>
      <c r="AL5" s="125"/>
      <c r="AM5" s="125"/>
      <c r="AN5" s="125"/>
      <c r="AO5" s="125"/>
      <c r="AP5" s="125"/>
      <c r="AQ5" s="125"/>
      <c r="AR5" s="125"/>
      <c r="AS5" s="125"/>
      <c r="AT5" s="125"/>
      <c r="AU5" s="125"/>
      <c r="AV5" s="125"/>
      <c r="AW5" s="125"/>
      <c r="AX5" s="125"/>
      <c r="AY5" s="125"/>
      <c r="AZ5" s="125"/>
      <c r="BA5" s="125"/>
      <c r="BB5" s="125"/>
      <c r="BC5" s="125"/>
      <c r="BD5" s="125"/>
      <c r="BE5" s="125"/>
      <c r="BF5" s="125"/>
      <c r="BG5" s="98">
        <f t="shared" si="0"/>
        <v>0</v>
      </c>
      <c r="BH5" s="98"/>
      <c r="BI5" s="98"/>
      <c r="BJ5" s="98"/>
      <c r="BK5" s="98"/>
      <c r="BL5" s="98"/>
      <c r="BM5" s="98"/>
      <c r="BN5" s="98"/>
      <c r="BO5" s="98"/>
      <c r="BP5" s="98"/>
      <c r="BQ5" s="98"/>
      <c r="BR5" s="98"/>
      <c r="BS5" s="98"/>
      <c r="BT5" s="98"/>
      <c r="BU5" s="98"/>
      <c r="BV5" s="98"/>
      <c r="BW5" s="98"/>
      <c r="BX5" s="98"/>
      <c r="BY5" s="98"/>
      <c r="BZ5" s="98"/>
      <c r="CA5" s="98"/>
      <c r="CB5" s="98"/>
      <c r="CC5" s="98"/>
      <c r="CD5" s="98"/>
      <c r="CE5" s="98"/>
      <c r="CF5" s="98"/>
    </row>
    <row r="6" spans="1:84" ht="24.75" customHeight="1" x14ac:dyDescent="0.25">
      <c r="A6" s="116" t="s">
        <v>0</v>
      </c>
      <c r="B6" s="118" t="s">
        <v>1</v>
      </c>
      <c r="C6" s="104" t="s">
        <v>22</v>
      </c>
      <c r="D6" s="105"/>
      <c r="E6" s="105"/>
      <c r="F6" s="106"/>
      <c r="G6" s="104" t="s">
        <v>21</v>
      </c>
      <c r="H6" s="105"/>
      <c r="I6" s="105"/>
      <c r="J6" s="106"/>
      <c r="K6" s="138" t="s">
        <v>32</v>
      </c>
      <c r="L6" s="139"/>
      <c r="M6" s="140"/>
      <c r="N6" s="141"/>
      <c r="O6" s="104" t="s">
        <v>20</v>
      </c>
      <c r="P6" s="105"/>
      <c r="Q6" s="105"/>
      <c r="R6" s="106"/>
      <c r="S6" s="133" t="s">
        <v>2</v>
      </c>
      <c r="T6" s="126"/>
      <c r="U6" s="127"/>
      <c r="V6" s="134"/>
      <c r="W6" s="133" t="s">
        <v>17</v>
      </c>
      <c r="X6" s="126"/>
      <c r="Y6" s="127"/>
      <c r="Z6" s="134"/>
      <c r="AA6" s="126" t="s">
        <v>3</v>
      </c>
      <c r="AB6" s="126"/>
      <c r="AC6" s="127"/>
      <c r="AD6" s="128"/>
      <c r="AE6" s="133" t="s">
        <v>28</v>
      </c>
      <c r="AF6" s="126"/>
      <c r="AG6" s="127"/>
      <c r="AH6" s="134"/>
      <c r="AI6" s="135" t="s">
        <v>33</v>
      </c>
      <c r="AJ6" s="136"/>
      <c r="AK6" s="136"/>
      <c r="AL6" s="137"/>
      <c r="AM6" s="133" t="s">
        <v>18</v>
      </c>
      <c r="AN6" s="126"/>
      <c r="AO6" s="127"/>
      <c r="AP6" s="134"/>
      <c r="AQ6" s="133" t="s">
        <v>19</v>
      </c>
      <c r="AR6" s="126"/>
      <c r="AS6" s="127"/>
      <c r="AT6" s="134"/>
      <c r="AU6" s="104" t="s">
        <v>23</v>
      </c>
      <c r="AV6" s="105"/>
      <c r="AW6" s="105"/>
      <c r="AX6" s="106"/>
      <c r="AY6" s="126" t="s">
        <v>4</v>
      </c>
      <c r="AZ6" s="126"/>
      <c r="BA6" s="127"/>
      <c r="BB6" s="128"/>
      <c r="BC6" s="129" t="s">
        <v>5</v>
      </c>
      <c r="BD6" s="130"/>
      <c r="BE6" s="131"/>
      <c r="BF6" s="132"/>
      <c r="BG6" s="116" t="s">
        <v>0</v>
      </c>
      <c r="BH6" s="118" t="s">
        <v>1</v>
      </c>
      <c r="BI6" s="111" t="s">
        <v>14</v>
      </c>
      <c r="BJ6" s="111"/>
      <c r="BK6" s="112"/>
      <c r="BL6" s="113"/>
      <c r="BM6" s="114" t="s">
        <v>15</v>
      </c>
      <c r="BN6" s="111"/>
      <c r="BO6" s="112"/>
      <c r="BP6" s="115"/>
      <c r="BQ6" s="104" t="s">
        <v>22</v>
      </c>
      <c r="BR6" s="105"/>
      <c r="BS6" s="105"/>
      <c r="BT6" s="106"/>
      <c r="BU6" s="101" t="s">
        <v>16</v>
      </c>
      <c r="BV6" s="102"/>
      <c r="BW6" s="102"/>
      <c r="BX6" s="102"/>
      <c r="BY6" s="101" t="s">
        <v>8</v>
      </c>
      <c r="BZ6" s="102"/>
      <c r="CA6" s="102"/>
      <c r="CB6" s="103"/>
      <c r="CC6" s="104" t="s">
        <v>21</v>
      </c>
      <c r="CD6" s="105"/>
      <c r="CE6" s="105"/>
      <c r="CF6" s="106"/>
    </row>
    <row r="7" spans="1:84" x14ac:dyDescent="0.25">
      <c r="A7" s="117"/>
      <c r="B7" s="119"/>
      <c r="C7" s="2" t="s">
        <v>29</v>
      </c>
      <c r="D7" s="3" t="s">
        <v>30</v>
      </c>
      <c r="E7" s="4" t="s">
        <v>31</v>
      </c>
      <c r="F7" s="5" t="s">
        <v>34</v>
      </c>
      <c r="G7" s="2" t="s">
        <v>29</v>
      </c>
      <c r="H7" s="3" t="s">
        <v>30</v>
      </c>
      <c r="I7" s="4" t="s">
        <v>31</v>
      </c>
      <c r="J7" s="5" t="s">
        <v>34</v>
      </c>
      <c r="K7" s="2" t="s">
        <v>29</v>
      </c>
      <c r="L7" s="3" t="s">
        <v>30</v>
      </c>
      <c r="M7" s="4" t="s">
        <v>31</v>
      </c>
      <c r="N7" s="5" t="s">
        <v>34</v>
      </c>
      <c r="O7" s="3" t="s">
        <v>29</v>
      </c>
      <c r="P7" s="3" t="s">
        <v>30</v>
      </c>
      <c r="Q7" s="4" t="s">
        <v>31</v>
      </c>
      <c r="R7" s="6" t="s">
        <v>34</v>
      </c>
      <c r="S7" s="2" t="s">
        <v>29</v>
      </c>
      <c r="T7" s="3" t="s">
        <v>30</v>
      </c>
      <c r="U7" s="4" t="s">
        <v>31</v>
      </c>
      <c r="V7" s="5" t="s">
        <v>34</v>
      </c>
      <c r="W7" s="2" t="s">
        <v>29</v>
      </c>
      <c r="X7" s="3" t="s">
        <v>30</v>
      </c>
      <c r="Y7" s="4" t="s">
        <v>31</v>
      </c>
      <c r="Z7" s="5" t="s">
        <v>34</v>
      </c>
      <c r="AA7" s="3" t="s">
        <v>29</v>
      </c>
      <c r="AB7" s="3" t="s">
        <v>30</v>
      </c>
      <c r="AC7" s="4" t="s">
        <v>31</v>
      </c>
      <c r="AD7" s="6" t="s">
        <v>34</v>
      </c>
      <c r="AE7" s="2" t="s">
        <v>29</v>
      </c>
      <c r="AF7" s="3" t="s">
        <v>30</v>
      </c>
      <c r="AG7" s="4" t="s">
        <v>31</v>
      </c>
      <c r="AH7" s="5" t="s">
        <v>34</v>
      </c>
      <c r="AI7" s="2" t="s">
        <v>29</v>
      </c>
      <c r="AJ7" s="3" t="s">
        <v>30</v>
      </c>
      <c r="AK7" s="4" t="s">
        <v>31</v>
      </c>
      <c r="AL7" s="5" t="s">
        <v>34</v>
      </c>
      <c r="AM7" s="2" t="s">
        <v>29</v>
      </c>
      <c r="AN7" s="3" t="s">
        <v>30</v>
      </c>
      <c r="AO7" s="4" t="s">
        <v>31</v>
      </c>
      <c r="AP7" s="5" t="s">
        <v>34</v>
      </c>
      <c r="AQ7" s="2" t="s">
        <v>29</v>
      </c>
      <c r="AR7" s="3" t="s">
        <v>30</v>
      </c>
      <c r="AS7" s="4" t="s">
        <v>31</v>
      </c>
      <c r="AT7" s="5" t="s">
        <v>34</v>
      </c>
      <c r="AU7" s="2" t="s">
        <v>29</v>
      </c>
      <c r="AV7" s="3" t="s">
        <v>30</v>
      </c>
      <c r="AW7" s="4" t="s">
        <v>31</v>
      </c>
      <c r="AX7" s="5" t="s">
        <v>34</v>
      </c>
      <c r="AY7" s="3" t="s">
        <v>29</v>
      </c>
      <c r="AZ7" s="3" t="s">
        <v>30</v>
      </c>
      <c r="BA7" s="4" t="s">
        <v>31</v>
      </c>
      <c r="BB7" s="6" t="s">
        <v>34</v>
      </c>
      <c r="BC7" s="7" t="s">
        <v>35</v>
      </c>
      <c r="BD7" s="8" t="s">
        <v>36</v>
      </c>
      <c r="BE7" s="9" t="s">
        <v>37</v>
      </c>
      <c r="BF7" s="10" t="s">
        <v>38</v>
      </c>
      <c r="BG7" s="117"/>
      <c r="BH7" s="119"/>
      <c r="BI7" s="11" t="s">
        <v>29</v>
      </c>
      <c r="BJ7" s="11" t="s">
        <v>30</v>
      </c>
      <c r="BK7" s="12" t="s">
        <v>31</v>
      </c>
      <c r="BL7" s="13" t="s">
        <v>34</v>
      </c>
      <c r="BM7" s="14" t="s">
        <v>29</v>
      </c>
      <c r="BN7" s="11" t="s">
        <v>30</v>
      </c>
      <c r="BO7" s="12" t="s">
        <v>31</v>
      </c>
      <c r="BP7" s="15" t="s">
        <v>34</v>
      </c>
      <c r="BQ7" s="2" t="s">
        <v>29</v>
      </c>
      <c r="BR7" s="3" t="s">
        <v>30</v>
      </c>
      <c r="BS7" s="4" t="s">
        <v>31</v>
      </c>
      <c r="BT7" s="5" t="s">
        <v>34</v>
      </c>
      <c r="BU7" s="11" t="s">
        <v>29</v>
      </c>
      <c r="BV7" s="11" t="s">
        <v>30</v>
      </c>
      <c r="BW7" s="12" t="s">
        <v>31</v>
      </c>
      <c r="BX7" s="13" t="s">
        <v>34</v>
      </c>
      <c r="BY7" s="14" t="s">
        <v>29</v>
      </c>
      <c r="BZ7" s="11" t="s">
        <v>30</v>
      </c>
      <c r="CA7" s="12" t="s">
        <v>31</v>
      </c>
      <c r="CB7" s="15" t="s">
        <v>34</v>
      </c>
      <c r="CC7" s="2" t="s">
        <v>29</v>
      </c>
      <c r="CD7" s="3" t="s">
        <v>30</v>
      </c>
      <c r="CE7" s="4" t="s">
        <v>31</v>
      </c>
      <c r="CF7" s="5" t="s">
        <v>34</v>
      </c>
    </row>
    <row r="8" spans="1:84" x14ac:dyDescent="0.25">
      <c r="A8" s="16">
        <v>1</v>
      </c>
      <c r="B8" s="17"/>
      <c r="C8" s="34" t="str">
        <f t="shared" ref="C8:C9" si="1">IF(BQ8="","",BQ8)</f>
        <v/>
      </c>
      <c r="D8" s="19" t="str">
        <f t="shared" ref="D8:F8" si="2">IF(BR8="","",BR8)</f>
        <v/>
      </c>
      <c r="E8" s="20" t="str">
        <f t="shared" si="2"/>
        <v/>
      </c>
      <c r="F8" s="21" t="str">
        <f t="shared" si="2"/>
        <v/>
      </c>
      <c r="G8" s="19" t="str">
        <f>IF(CC8="","",CC8)</f>
        <v/>
      </c>
      <c r="H8" s="19" t="str">
        <f t="shared" ref="H8:J8" si="3">IF(CD8="","",CD8)</f>
        <v/>
      </c>
      <c r="I8" s="20" t="str">
        <f t="shared" si="3"/>
        <v/>
      </c>
      <c r="J8" s="22" t="str">
        <f t="shared" si="3"/>
        <v/>
      </c>
      <c r="K8" s="18"/>
      <c r="L8" s="19"/>
      <c r="M8" s="20"/>
      <c r="N8" s="21" t="str">
        <f>IF(SUM(K8:M8)=0,"",ROUND(AVERAGE(K8:M8),0))</f>
        <v/>
      </c>
      <c r="O8" s="19"/>
      <c r="P8" s="19"/>
      <c r="Q8" s="20"/>
      <c r="R8" s="22" t="str">
        <f>IF(SUM(O8:Q8)=0,"",ROUND(AVERAGE(O8:Q8),0))</f>
        <v/>
      </c>
      <c r="S8" s="18"/>
      <c r="T8" s="19"/>
      <c r="U8" s="20"/>
      <c r="V8" s="21" t="str">
        <f>IF(SUM(S8:U8)=0,"",ROUND(AVERAGE(S8:U8),0))</f>
        <v/>
      </c>
      <c r="W8" s="18"/>
      <c r="X8" s="19"/>
      <c r="Y8" s="20"/>
      <c r="Z8" s="21" t="str">
        <f>IF(SUM(W8:Y8)=0,"",ROUND(AVERAGE(W8:Y8),0))</f>
        <v/>
      </c>
      <c r="AA8" s="19"/>
      <c r="AB8" s="19"/>
      <c r="AC8" s="20"/>
      <c r="AD8" s="22" t="str">
        <f>IF(SUM(AA8:AC8)=0,"",ROUND(AVERAGE(AA8:AC8),0))</f>
        <v/>
      </c>
      <c r="AE8" s="18"/>
      <c r="AF8" s="19"/>
      <c r="AG8" s="20"/>
      <c r="AH8" s="21" t="str">
        <f>IF(SUM(AE8:AG8)=0,"",ROUND(AVERAGE(AE8:AG8),0))</f>
        <v/>
      </c>
      <c r="AI8" s="18"/>
      <c r="AJ8" s="19"/>
      <c r="AK8" s="20"/>
      <c r="AL8" s="21" t="str">
        <f>IF(SUM(AI8:AK8)=0,"",ROUND(AVERAGE(AI8:AK8),0))</f>
        <v/>
      </c>
      <c r="AM8" s="18"/>
      <c r="AN8" s="19"/>
      <c r="AO8" s="20"/>
      <c r="AP8" s="21" t="str">
        <f>IF(SUM(AM8:AO8)=0,"",ROUND(AVERAGE(AM8:AO8),0))</f>
        <v/>
      </c>
      <c r="AQ8" s="18"/>
      <c r="AR8" s="19"/>
      <c r="AS8" s="20"/>
      <c r="AT8" s="21" t="str">
        <f>IF(SUM(AQ8:AS8)=0,"",ROUND(AVERAGE(AQ8:AS8),0))</f>
        <v/>
      </c>
      <c r="AU8" s="18"/>
      <c r="AV8" s="19"/>
      <c r="AW8" s="20"/>
      <c r="AX8" s="21" t="str">
        <f>IF(SUM(AU8:AW8)=0,"",ROUND(AVERAGE(AU8:AW8),0))</f>
        <v/>
      </c>
      <c r="AY8" s="19"/>
      <c r="AZ8" s="19"/>
      <c r="BA8" s="20"/>
      <c r="BB8" s="22" t="str">
        <f>IF(SUM(AY8:BA8)=0,"",ROUND(AVERAGE(AY8:BA8),0))</f>
        <v/>
      </c>
      <c r="BC8" s="23"/>
      <c r="BD8" s="24"/>
      <c r="BE8" s="25"/>
      <c r="BF8" s="26" t="str">
        <f t="shared" ref="BF8:BF37" si="4">IF(SUM(F8,J8,N8,R8,V8,Z8,AD8,AH8,AL8,AP8,AT8,AX8,BB8)=0,"",ROUND(AVERAGE(F8,J8,N8,R8,V8,Z8,AD8,AH8,AL8,AP8,AT8,AX8,BB8),2))</f>
        <v/>
      </c>
      <c r="BG8" s="16">
        <v>1</v>
      </c>
      <c r="BH8" s="17" t="str">
        <f>IF(B8="","",B8)</f>
        <v/>
      </c>
      <c r="BI8" s="27"/>
      <c r="BJ8" s="27"/>
      <c r="BK8" s="28"/>
      <c r="BL8" s="29" t="str">
        <f>IF(SUM(BI8:BK8)=0,"",ROUND(AVERAGE(BI8:BK8),0))</f>
        <v/>
      </c>
      <c r="BM8" s="30"/>
      <c r="BN8" s="27"/>
      <c r="BO8" s="28"/>
      <c r="BP8" s="31" t="str">
        <f>IF(SUM(BM8:BO8)=0,"",ROUND(AVERAGE(BM8:BO8),0))</f>
        <v/>
      </c>
      <c r="BQ8" s="18"/>
      <c r="BR8" s="19"/>
      <c r="BS8" s="20"/>
      <c r="BT8" s="21" t="str">
        <f>IF(SUM(BQ8:BS8)=0,"",ROUND(AVERAGE(BQ8:BS8),0))</f>
        <v/>
      </c>
      <c r="BU8" s="30"/>
      <c r="BV8" s="27"/>
      <c r="BW8" s="28"/>
      <c r="BX8" s="31" t="str">
        <f>IF(SUM(BU8:BW8)=0,"",ROUND(AVERAGE(BU8:BW8),0))</f>
        <v/>
      </c>
      <c r="BY8" s="30"/>
      <c r="BZ8" s="27"/>
      <c r="CA8" s="28"/>
      <c r="CB8" s="31" t="str">
        <f>IF(SUM(BY8:CA8)=0,"",ROUND(AVERAGE(BY8:CA8),0))</f>
        <v/>
      </c>
      <c r="CC8" s="18"/>
      <c r="CD8" s="19"/>
      <c r="CE8" s="20"/>
      <c r="CF8" s="21" t="str">
        <f>IF(SUM(CC8:CE8)=0,"",ROUND(AVERAGE(CC8:CE8),0))</f>
        <v/>
      </c>
    </row>
    <row r="9" spans="1:84" x14ac:dyDescent="0.25">
      <c r="A9" s="32">
        <v>2</v>
      </c>
      <c r="B9" s="33"/>
      <c r="C9" s="34" t="str">
        <f t="shared" si="1"/>
        <v/>
      </c>
      <c r="D9" s="35" t="str">
        <f t="shared" ref="D9:D37" si="5">IF(BR9="","",BR9)</f>
        <v/>
      </c>
      <c r="E9" s="36" t="str">
        <f t="shared" ref="E9:E37" si="6">IF(BS9="","",BS9)</f>
        <v/>
      </c>
      <c r="F9" s="37" t="str">
        <f t="shared" ref="F9:F37" si="7">IF(BT9="","",BT9)</f>
        <v/>
      </c>
      <c r="G9" s="35" t="str">
        <f t="shared" ref="G9:G37" si="8">IF(CC9="","",CC9)</f>
        <v/>
      </c>
      <c r="H9" s="35" t="str">
        <f t="shared" ref="H9:H37" si="9">IF(CD9="","",CD9)</f>
        <v/>
      </c>
      <c r="I9" s="36" t="str">
        <f t="shared" ref="I9:I37" si="10">IF(CE9="","",CE9)</f>
        <v/>
      </c>
      <c r="J9" s="38" t="str">
        <f t="shared" ref="J9:J37" si="11">IF(CF9="","",CF9)</f>
        <v/>
      </c>
      <c r="K9" s="34"/>
      <c r="L9" s="35"/>
      <c r="M9" s="36"/>
      <c r="N9" s="37" t="str">
        <f t="shared" ref="N9:N37" si="12">IF(SUM(K9:M9)=0,"",ROUND(AVERAGE(K9:M9),0))</f>
        <v/>
      </c>
      <c r="O9" s="35"/>
      <c r="P9" s="35"/>
      <c r="Q9" s="36"/>
      <c r="R9" s="38" t="str">
        <f t="shared" ref="R9:R37" si="13">IF(SUM(O9:Q9)=0,"",ROUND(AVERAGE(O9:Q9),0))</f>
        <v/>
      </c>
      <c r="S9" s="34"/>
      <c r="T9" s="35"/>
      <c r="U9" s="36"/>
      <c r="V9" s="37" t="str">
        <f t="shared" ref="V9:V37" si="14">IF(SUM(S9:U9)=0,"",ROUND(AVERAGE(S9:U9),0))</f>
        <v/>
      </c>
      <c r="W9" s="34"/>
      <c r="X9" s="35"/>
      <c r="Y9" s="36"/>
      <c r="Z9" s="37" t="str">
        <f t="shared" ref="Z9:Z37" si="15">IF(SUM(W9:Y9)=0,"",ROUND(AVERAGE(W9:Y9),0))</f>
        <v/>
      </c>
      <c r="AA9" s="35"/>
      <c r="AB9" s="35"/>
      <c r="AC9" s="36"/>
      <c r="AD9" s="38" t="str">
        <f t="shared" ref="AD9:AD37" si="16">IF(SUM(AA9:AC9)=0,"",ROUND(AVERAGE(AA9:AC9),0))</f>
        <v/>
      </c>
      <c r="AE9" s="34"/>
      <c r="AF9" s="35"/>
      <c r="AG9" s="36"/>
      <c r="AH9" s="37" t="str">
        <f t="shared" ref="AH9:AH37" si="17">IF(SUM(AE9:AG9)=0,"",ROUND(AVERAGE(AE9:AG9),0))</f>
        <v/>
      </c>
      <c r="AI9" s="34"/>
      <c r="AJ9" s="35"/>
      <c r="AK9" s="36"/>
      <c r="AL9" s="37" t="str">
        <f t="shared" ref="AL9:AL37" si="18">IF(SUM(AI9:AK9)=0,"",ROUND(AVERAGE(AI9:AK9),0))</f>
        <v/>
      </c>
      <c r="AM9" s="34"/>
      <c r="AN9" s="35"/>
      <c r="AO9" s="36"/>
      <c r="AP9" s="37" t="str">
        <f t="shared" ref="AP9:AP37" si="19">IF(SUM(AM9:AO9)=0,"",ROUND(AVERAGE(AM9:AO9),0))</f>
        <v/>
      </c>
      <c r="AQ9" s="34"/>
      <c r="AR9" s="35"/>
      <c r="AS9" s="36"/>
      <c r="AT9" s="37" t="str">
        <f t="shared" ref="AT9:AT37" si="20">IF(SUM(AQ9:AS9)=0,"",ROUND(AVERAGE(AQ9:AS9),0))</f>
        <v/>
      </c>
      <c r="AU9" s="34"/>
      <c r="AV9" s="35"/>
      <c r="AW9" s="36"/>
      <c r="AX9" s="37" t="str">
        <f t="shared" ref="AX9:AX37" si="21">IF(SUM(AU9:AW9)=0,"",ROUND(AVERAGE(AU9:AW9),0))</f>
        <v/>
      </c>
      <c r="AY9" s="35"/>
      <c r="AZ9" s="35"/>
      <c r="BA9" s="36"/>
      <c r="BB9" s="38" t="str">
        <f t="shared" ref="BB9:BB37" si="22">IF(SUM(AY9:BA9)=0,"",ROUND(AVERAGE(AY9:BA9),0))</f>
        <v/>
      </c>
      <c r="BC9" s="39"/>
      <c r="BD9" s="40"/>
      <c r="BE9" s="41"/>
      <c r="BF9" s="42" t="str">
        <f t="shared" si="4"/>
        <v/>
      </c>
      <c r="BG9" s="32">
        <v>2</v>
      </c>
      <c r="BH9" s="33" t="str">
        <f t="shared" ref="BH9:BH37" si="23">IF(B9="","",B9)</f>
        <v/>
      </c>
      <c r="BI9" s="43"/>
      <c r="BJ9" s="43"/>
      <c r="BK9" s="44"/>
      <c r="BL9" s="45" t="str">
        <f t="shared" ref="BL9:BL37" si="24">IF(SUM(BI9:BK9)=0,"",ROUND(AVERAGE(BI9:BK9),0))</f>
        <v/>
      </c>
      <c r="BM9" s="46"/>
      <c r="BN9" s="43"/>
      <c r="BO9" s="44"/>
      <c r="BP9" s="47" t="str">
        <f t="shared" ref="BP9:BP37" si="25">IF(SUM(BM9:BO9)=0,"",ROUND(AVERAGE(BM9:BO9),0))</f>
        <v/>
      </c>
      <c r="BQ9" s="34"/>
      <c r="BR9" s="35"/>
      <c r="BS9" s="36"/>
      <c r="BT9" s="37" t="str">
        <f t="shared" ref="BT9:BT37" si="26">IF(SUM(BQ9:BS9)=0,"",ROUND(AVERAGE(BQ9:BS9),0))</f>
        <v/>
      </c>
      <c r="BU9" s="46"/>
      <c r="BV9" s="43"/>
      <c r="BW9" s="44"/>
      <c r="BX9" s="47" t="str">
        <f t="shared" ref="BX9:BX37" si="27">IF(SUM(BU9:BW9)=0,"",ROUND(AVERAGE(BU9:BW9),0))</f>
        <v/>
      </c>
      <c r="BY9" s="46"/>
      <c r="BZ9" s="43"/>
      <c r="CA9" s="44"/>
      <c r="CB9" s="47" t="str">
        <f t="shared" ref="CB9:CB37" si="28">IF(SUM(BY9:CA9)=0,"",ROUND(AVERAGE(BY9:CA9),0))</f>
        <v/>
      </c>
      <c r="CC9" s="34"/>
      <c r="CD9" s="35"/>
      <c r="CE9" s="36"/>
      <c r="CF9" s="37" t="str">
        <f t="shared" ref="CF9:CF37" si="29">IF(SUM(CC9:CE9)=0,"",ROUND(AVERAGE(CC9:CE9),0))</f>
        <v/>
      </c>
    </row>
    <row r="10" spans="1:84" x14ac:dyDescent="0.25">
      <c r="A10" s="32">
        <v>3</v>
      </c>
      <c r="B10" s="33"/>
      <c r="C10" s="34" t="str">
        <f t="shared" ref="C10:C37" si="30">IF(BQ10="","",BQ10)</f>
        <v/>
      </c>
      <c r="D10" s="35" t="str">
        <f t="shared" si="5"/>
        <v/>
      </c>
      <c r="E10" s="36" t="str">
        <f t="shared" si="6"/>
        <v/>
      </c>
      <c r="F10" s="37" t="str">
        <f t="shared" si="7"/>
        <v/>
      </c>
      <c r="G10" s="35" t="str">
        <f t="shared" si="8"/>
        <v/>
      </c>
      <c r="H10" s="35" t="str">
        <f t="shared" si="9"/>
        <v/>
      </c>
      <c r="I10" s="36" t="str">
        <f t="shared" si="10"/>
        <v/>
      </c>
      <c r="J10" s="38" t="str">
        <f t="shared" si="11"/>
        <v/>
      </c>
      <c r="K10" s="34"/>
      <c r="L10" s="35"/>
      <c r="M10" s="36"/>
      <c r="N10" s="37" t="str">
        <f t="shared" si="12"/>
        <v/>
      </c>
      <c r="O10" s="35"/>
      <c r="P10" s="35"/>
      <c r="Q10" s="36"/>
      <c r="R10" s="38" t="str">
        <f t="shared" si="13"/>
        <v/>
      </c>
      <c r="S10" s="34"/>
      <c r="T10" s="35"/>
      <c r="U10" s="36"/>
      <c r="V10" s="37" t="str">
        <f t="shared" si="14"/>
        <v/>
      </c>
      <c r="W10" s="34"/>
      <c r="X10" s="35"/>
      <c r="Y10" s="36"/>
      <c r="Z10" s="37" t="str">
        <f t="shared" si="15"/>
        <v/>
      </c>
      <c r="AA10" s="35"/>
      <c r="AB10" s="35"/>
      <c r="AC10" s="36"/>
      <c r="AD10" s="38" t="str">
        <f t="shared" si="16"/>
        <v/>
      </c>
      <c r="AE10" s="34"/>
      <c r="AF10" s="35"/>
      <c r="AG10" s="36"/>
      <c r="AH10" s="37" t="str">
        <f t="shared" si="17"/>
        <v/>
      </c>
      <c r="AI10" s="34"/>
      <c r="AJ10" s="35"/>
      <c r="AK10" s="36"/>
      <c r="AL10" s="37" t="str">
        <f t="shared" si="18"/>
        <v/>
      </c>
      <c r="AM10" s="34"/>
      <c r="AN10" s="35"/>
      <c r="AO10" s="36"/>
      <c r="AP10" s="37" t="str">
        <f t="shared" si="19"/>
        <v/>
      </c>
      <c r="AQ10" s="34"/>
      <c r="AR10" s="35"/>
      <c r="AS10" s="36"/>
      <c r="AT10" s="37" t="str">
        <f t="shared" si="20"/>
        <v/>
      </c>
      <c r="AU10" s="34"/>
      <c r="AV10" s="35"/>
      <c r="AW10" s="36"/>
      <c r="AX10" s="37" t="str">
        <f t="shared" si="21"/>
        <v/>
      </c>
      <c r="AY10" s="35"/>
      <c r="AZ10" s="35"/>
      <c r="BA10" s="36"/>
      <c r="BB10" s="38" t="str">
        <f t="shared" si="22"/>
        <v/>
      </c>
      <c r="BC10" s="39"/>
      <c r="BD10" s="40"/>
      <c r="BE10" s="41"/>
      <c r="BF10" s="42" t="str">
        <f t="shared" si="4"/>
        <v/>
      </c>
      <c r="BG10" s="32">
        <v>3</v>
      </c>
      <c r="BH10" s="33" t="str">
        <f t="shared" si="23"/>
        <v/>
      </c>
      <c r="BI10" s="43"/>
      <c r="BJ10" s="43"/>
      <c r="BK10" s="44"/>
      <c r="BL10" s="45" t="str">
        <f t="shared" si="24"/>
        <v/>
      </c>
      <c r="BM10" s="46"/>
      <c r="BN10" s="43"/>
      <c r="BO10" s="44"/>
      <c r="BP10" s="47" t="str">
        <f t="shared" si="25"/>
        <v/>
      </c>
      <c r="BQ10" s="34"/>
      <c r="BR10" s="35"/>
      <c r="BS10" s="36"/>
      <c r="BT10" s="37" t="str">
        <f t="shared" si="26"/>
        <v/>
      </c>
      <c r="BU10" s="46"/>
      <c r="BV10" s="43"/>
      <c r="BW10" s="44"/>
      <c r="BX10" s="47" t="str">
        <f t="shared" si="27"/>
        <v/>
      </c>
      <c r="BY10" s="46"/>
      <c r="BZ10" s="43"/>
      <c r="CA10" s="44"/>
      <c r="CB10" s="47" t="str">
        <f t="shared" si="28"/>
        <v/>
      </c>
      <c r="CC10" s="34"/>
      <c r="CD10" s="35"/>
      <c r="CE10" s="36"/>
      <c r="CF10" s="37" t="str">
        <f t="shared" si="29"/>
        <v/>
      </c>
    </row>
    <row r="11" spans="1:84" x14ac:dyDescent="0.25">
      <c r="A11" s="32">
        <v>4</v>
      </c>
      <c r="B11" s="33"/>
      <c r="C11" s="34" t="str">
        <f t="shared" si="30"/>
        <v/>
      </c>
      <c r="D11" s="35" t="str">
        <f t="shared" si="5"/>
        <v/>
      </c>
      <c r="E11" s="36" t="str">
        <f t="shared" si="6"/>
        <v/>
      </c>
      <c r="F11" s="37" t="str">
        <f t="shared" si="7"/>
        <v/>
      </c>
      <c r="G11" s="35" t="str">
        <f t="shared" si="8"/>
        <v/>
      </c>
      <c r="H11" s="35" t="str">
        <f t="shared" si="9"/>
        <v/>
      </c>
      <c r="I11" s="36" t="str">
        <f t="shared" si="10"/>
        <v/>
      </c>
      <c r="J11" s="38" t="str">
        <f t="shared" si="11"/>
        <v/>
      </c>
      <c r="K11" s="34"/>
      <c r="L11" s="35"/>
      <c r="M11" s="36"/>
      <c r="N11" s="37" t="str">
        <f t="shared" si="12"/>
        <v/>
      </c>
      <c r="O11" s="35"/>
      <c r="P11" s="35"/>
      <c r="Q11" s="36"/>
      <c r="R11" s="38" t="str">
        <f t="shared" si="13"/>
        <v/>
      </c>
      <c r="S11" s="34"/>
      <c r="T11" s="35"/>
      <c r="U11" s="36"/>
      <c r="V11" s="37" t="str">
        <f t="shared" si="14"/>
        <v/>
      </c>
      <c r="W11" s="34"/>
      <c r="X11" s="35"/>
      <c r="Y11" s="36"/>
      <c r="Z11" s="37" t="str">
        <f t="shared" si="15"/>
        <v/>
      </c>
      <c r="AA11" s="35"/>
      <c r="AB11" s="35"/>
      <c r="AC11" s="36"/>
      <c r="AD11" s="38" t="str">
        <f t="shared" si="16"/>
        <v/>
      </c>
      <c r="AE11" s="34"/>
      <c r="AF11" s="35"/>
      <c r="AG11" s="36"/>
      <c r="AH11" s="37" t="str">
        <f t="shared" si="17"/>
        <v/>
      </c>
      <c r="AI11" s="34"/>
      <c r="AJ11" s="35"/>
      <c r="AK11" s="36"/>
      <c r="AL11" s="37" t="str">
        <f t="shared" si="18"/>
        <v/>
      </c>
      <c r="AM11" s="34"/>
      <c r="AN11" s="35"/>
      <c r="AO11" s="36"/>
      <c r="AP11" s="37" t="str">
        <f t="shared" si="19"/>
        <v/>
      </c>
      <c r="AQ11" s="34"/>
      <c r="AR11" s="35"/>
      <c r="AS11" s="36"/>
      <c r="AT11" s="37" t="str">
        <f t="shared" si="20"/>
        <v/>
      </c>
      <c r="AU11" s="34"/>
      <c r="AV11" s="35"/>
      <c r="AW11" s="36"/>
      <c r="AX11" s="37" t="str">
        <f t="shared" si="21"/>
        <v/>
      </c>
      <c r="AY11" s="35"/>
      <c r="AZ11" s="35"/>
      <c r="BA11" s="36"/>
      <c r="BB11" s="38" t="str">
        <f t="shared" si="22"/>
        <v/>
      </c>
      <c r="BC11" s="39"/>
      <c r="BD11" s="40"/>
      <c r="BE11" s="41"/>
      <c r="BF11" s="42" t="str">
        <f t="shared" si="4"/>
        <v/>
      </c>
      <c r="BG11" s="32">
        <v>4</v>
      </c>
      <c r="BH11" s="33" t="str">
        <f t="shared" si="23"/>
        <v/>
      </c>
      <c r="BI11" s="43"/>
      <c r="BJ11" s="43"/>
      <c r="BK11" s="44"/>
      <c r="BL11" s="45" t="str">
        <f t="shared" si="24"/>
        <v/>
      </c>
      <c r="BM11" s="46"/>
      <c r="BN11" s="43"/>
      <c r="BO11" s="44"/>
      <c r="BP11" s="47" t="str">
        <f t="shared" si="25"/>
        <v/>
      </c>
      <c r="BQ11" s="34"/>
      <c r="BR11" s="35"/>
      <c r="BS11" s="36"/>
      <c r="BT11" s="37" t="str">
        <f t="shared" si="26"/>
        <v/>
      </c>
      <c r="BU11" s="46"/>
      <c r="BV11" s="43"/>
      <c r="BW11" s="44"/>
      <c r="BX11" s="47" t="str">
        <f t="shared" si="27"/>
        <v/>
      </c>
      <c r="BY11" s="46"/>
      <c r="BZ11" s="43"/>
      <c r="CA11" s="44"/>
      <c r="CB11" s="47" t="str">
        <f t="shared" si="28"/>
        <v/>
      </c>
      <c r="CC11" s="34"/>
      <c r="CD11" s="35"/>
      <c r="CE11" s="36"/>
      <c r="CF11" s="37" t="str">
        <f t="shared" si="29"/>
        <v/>
      </c>
    </row>
    <row r="12" spans="1:84" x14ac:dyDescent="0.25">
      <c r="A12" s="32">
        <v>5</v>
      </c>
      <c r="B12" s="33"/>
      <c r="C12" s="34" t="str">
        <f t="shared" si="30"/>
        <v/>
      </c>
      <c r="D12" s="35" t="str">
        <f t="shared" si="5"/>
        <v/>
      </c>
      <c r="E12" s="36" t="str">
        <f t="shared" si="6"/>
        <v/>
      </c>
      <c r="F12" s="37" t="str">
        <f t="shared" si="7"/>
        <v/>
      </c>
      <c r="G12" s="35" t="str">
        <f t="shared" si="8"/>
        <v/>
      </c>
      <c r="H12" s="35" t="str">
        <f t="shared" si="9"/>
        <v/>
      </c>
      <c r="I12" s="36" t="str">
        <f t="shared" si="10"/>
        <v/>
      </c>
      <c r="J12" s="38" t="str">
        <f t="shared" si="11"/>
        <v/>
      </c>
      <c r="K12" s="34"/>
      <c r="L12" s="35"/>
      <c r="M12" s="36"/>
      <c r="N12" s="37" t="str">
        <f t="shared" si="12"/>
        <v/>
      </c>
      <c r="O12" s="35"/>
      <c r="P12" s="35"/>
      <c r="Q12" s="36"/>
      <c r="R12" s="38" t="str">
        <f t="shared" si="13"/>
        <v/>
      </c>
      <c r="S12" s="34"/>
      <c r="T12" s="35"/>
      <c r="U12" s="36"/>
      <c r="V12" s="37" t="str">
        <f t="shared" si="14"/>
        <v/>
      </c>
      <c r="W12" s="34"/>
      <c r="X12" s="35"/>
      <c r="Y12" s="36"/>
      <c r="Z12" s="37" t="str">
        <f t="shared" si="15"/>
        <v/>
      </c>
      <c r="AA12" s="35"/>
      <c r="AB12" s="35"/>
      <c r="AC12" s="36"/>
      <c r="AD12" s="38" t="str">
        <f t="shared" si="16"/>
        <v/>
      </c>
      <c r="AE12" s="34"/>
      <c r="AF12" s="35"/>
      <c r="AG12" s="36"/>
      <c r="AH12" s="37" t="str">
        <f t="shared" si="17"/>
        <v/>
      </c>
      <c r="AI12" s="34"/>
      <c r="AJ12" s="35"/>
      <c r="AK12" s="36"/>
      <c r="AL12" s="37" t="str">
        <f t="shared" si="18"/>
        <v/>
      </c>
      <c r="AM12" s="34"/>
      <c r="AN12" s="35"/>
      <c r="AO12" s="36"/>
      <c r="AP12" s="37" t="str">
        <f t="shared" si="19"/>
        <v/>
      </c>
      <c r="AQ12" s="34"/>
      <c r="AR12" s="35"/>
      <c r="AS12" s="36"/>
      <c r="AT12" s="37" t="str">
        <f t="shared" si="20"/>
        <v/>
      </c>
      <c r="AU12" s="34"/>
      <c r="AV12" s="35"/>
      <c r="AW12" s="36"/>
      <c r="AX12" s="37" t="str">
        <f t="shared" si="21"/>
        <v/>
      </c>
      <c r="AY12" s="35"/>
      <c r="AZ12" s="35"/>
      <c r="BA12" s="36"/>
      <c r="BB12" s="38" t="str">
        <f t="shared" si="22"/>
        <v/>
      </c>
      <c r="BC12" s="39"/>
      <c r="BD12" s="40"/>
      <c r="BE12" s="41"/>
      <c r="BF12" s="42" t="str">
        <f t="shared" si="4"/>
        <v/>
      </c>
      <c r="BG12" s="32">
        <v>5</v>
      </c>
      <c r="BH12" s="33" t="str">
        <f t="shared" si="23"/>
        <v/>
      </c>
      <c r="BI12" s="43"/>
      <c r="BJ12" s="43"/>
      <c r="BK12" s="44"/>
      <c r="BL12" s="45" t="str">
        <f t="shared" si="24"/>
        <v/>
      </c>
      <c r="BM12" s="46"/>
      <c r="BN12" s="43"/>
      <c r="BO12" s="44"/>
      <c r="BP12" s="47" t="str">
        <f t="shared" si="25"/>
        <v/>
      </c>
      <c r="BQ12" s="34"/>
      <c r="BR12" s="35"/>
      <c r="BS12" s="36"/>
      <c r="BT12" s="37" t="str">
        <f t="shared" si="26"/>
        <v/>
      </c>
      <c r="BU12" s="46"/>
      <c r="BV12" s="43"/>
      <c r="BW12" s="44"/>
      <c r="BX12" s="47" t="str">
        <f t="shared" si="27"/>
        <v/>
      </c>
      <c r="BY12" s="46"/>
      <c r="BZ12" s="43"/>
      <c r="CA12" s="44"/>
      <c r="CB12" s="47" t="str">
        <f t="shared" si="28"/>
        <v/>
      </c>
      <c r="CC12" s="34"/>
      <c r="CD12" s="35"/>
      <c r="CE12" s="36"/>
      <c r="CF12" s="37" t="str">
        <f t="shared" si="29"/>
        <v/>
      </c>
    </row>
    <row r="13" spans="1:84" x14ac:dyDescent="0.25">
      <c r="A13" s="32">
        <v>6</v>
      </c>
      <c r="B13" s="33"/>
      <c r="C13" s="34" t="str">
        <f t="shared" si="30"/>
        <v/>
      </c>
      <c r="D13" s="35" t="str">
        <f t="shared" si="5"/>
        <v/>
      </c>
      <c r="E13" s="36" t="str">
        <f t="shared" si="6"/>
        <v/>
      </c>
      <c r="F13" s="37" t="str">
        <f t="shared" si="7"/>
        <v/>
      </c>
      <c r="G13" s="35" t="str">
        <f t="shared" si="8"/>
        <v/>
      </c>
      <c r="H13" s="35" t="str">
        <f t="shared" si="9"/>
        <v/>
      </c>
      <c r="I13" s="36" t="str">
        <f t="shared" si="10"/>
        <v/>
      </c>
      <c r="J13" s="38" t="str">
        <f t="shared" si="11"/>
        <v/>
      </c>
      <c r="K13" s="34"/>
      <c r="L13" s="35"/>
      <c r="M13" s="36"/>
      <c r="N13" s="37" t="str">
        <f t="shared" si="12"/>
        <v/>
      </c>
      <c r="O13" s="35"/>
      <c r="P13" s="35"/>
      <c r="Q13" s="36"/>
      <c r="R13" s="38" t="str">
        <f t="shared" si="13"/>
        <v/>
      </c>
      <c r="S13" s="34"/>
      <c r="T13" s="35"/>
      <c r="U13" s="36"/>
      <c r="V13" s="37" t="str">
        <f t="shared" si="14"/>
        <v/>
      </c>
      <c r="W13" s="34"/>
      <c r="X13" s="35"/>
      <c r="Y13" s="36"/>
      <c r="Z13" s="37" t="str">
        <f t="shared" si="15"/>
        <v/>
      </c>
      <c r="AA13" s="35"/>
      <c r="AB13" s="35"/>
      <c r="AC13" s="36"/>
      <c r="AD13" s="38" t="str">
        <f t="shared" si="16"/>
        <v/>
      </c>
      <c r="AE13" s="34"/>
      <c r="AF13" s="35"/>
      <c r="AG13" s="36"/>
      <c r="AH13" s="37" t="str">
        <f t="shared" si="17"/>
        <v/>
      </c>
      <c r="AI13" s="34"/>
      <c r="AJ13" s="35"/>
      <c r="AK13" s="36"/>
      <c r="AL13" s="37" t="str">
        <f t="shared" si="18"/>
        <v/>
      </c>
      <c r="AM13" s="34"/>
      <c r="AN13" s="35"/>
      <c r="AO13" s="36"/>
      <c r="AP13" s="37" t="str">
        <f t="shared" si="19"/>
        <v/>
      </c>
      <c r="AQ13" s="34"/>
      <c r="AR13" s="35"/>
      <c r="AS13" s="36"/>
      <c r="AT13" s="37" t="str">
        <f t="shared" si="20"/>
        <v/>
      </c>
      <c r="AU13" s="34"/>
      <c r="AV13" s="35"/>
      <c r="AW13" s="36"/>
      <c r="AX13" s="37" t="str">
        <f t="shared" si="21"/>
        <v/>
      </c>
      <c r="AY13" s="35"/>
      <c r="AZ13" s="35"/>
      <c r="BA13" s="36"/>
      <c r="BB13" s="38" t="str">
        <f t="shared" si="22"/>
        <v/>
      </c>
      <c r="BC13" s="39"/>
      <c r="BD13" s="40"/>
      <c r="BE13" s="41"/>
      <c r="BF13" s="42" t="str">
        <f t="shared" si="4"/>
        <v/>
      </c>
      <c r="BG13" s="32">
        <v>6</v>
      </c>
      <c r="BH13" s="33" t="str">
        <f t="shared" si="23"/>
        <v/>
      </c>
      <c r="BI13" s="43"/>
      <c r="BJ13" s="43"/>
      <c r="BK13" s="44"/>
      <c r="BL13" s="45" t="str">
        <f t="shared" si="24"/>
        <v/>
      </c>
      <c r="BM13" s="46"/>
      <c r="BN13" s="43"/>
      <c r="BO13" s="44"/>
      <c r="BP13" s="47" t="str">
        <f t="shared" si="25"/>
        <v/>
      </c>
      <c r="BQ13" s="34"/>
      <c r="BR13" s="35"/>
      <c r="BS13" s="36"/>
      <c r="BT13" s="37" t="str">
        <f t="shared" si="26"/>
        <v/>
      </c>
      <c r="BU13" s="46"/>
      <c r="BV13" s="43"/>
      <c r="BW13" s="44"/>
      <c r="BX13" s="47" t="str">
        <f t="shared" si="27"/>
        <v/>
      </c>
      <c r="BY13" s="46"/>
      <c r="BZ13" s="43"/>
      <c r="CA13" s="44"/>
      <c r="CB13" s="47" t="str">
        <f t="shared" si="28"/>
        <v/>
      </c>
      <c r="CC13" s="34"/>
      <c r="CD13" s="35"/>
      <c r="CE13" s="36"/>
      <c r="CF13" s="37" t="str">
        <f t="shared" si="29"/>
        <v/>
      </c>
    </row>
    <row r="14" spans="1:84" x14ac:dyDescent="0.25">
      <c r="A14" s="32">
        <v>7</v>
      </c>
      <c r="B14" s="33"/>
      <c r="C14" s="34" t="str">
        <f t="shared" si="30"/>
        <v/>
      </c>
      <c r="D14" s="35" t="str">
        <f t="shared" si="5"/>
        <v/>
      </c>
      <c r="E14" s="36" t="str">
        <f t="shared" si="6"/>
        <v/>
      </c>
      <c r="F14" s="37" t="str">
        <f t="shared" si="7"/>
        <v/>
      </c>
      <c r="G14" s="35" t="str">
        <f t="shared" si="8"/>
        <v/>
      </c>
      <c r="H14" s="35" t="str">
        <f t="shared" si="9"/>
        <v/>
      </c>
      <c r="I14" s="36" t="str">
        <f t="shared" si="10"/>
        <v/>
      </c>
      <c r="J14" s="38" t="str">
        <f t="shared" si="11"/>
        <v/>
      </c>
      <c r="K14" s="34"/>
      <c r="L14" s="35"/>
      <c r="M14" s="36"/>
      <c r="N14" s="37" t="str">
        <f t="shared" si="12"/>
        <v/>
      </c>
      <c r="O14" s="35"/>
      <c r="P14" s="35"/>
      <c r="Q14" s="36"/>
      <c r="R14" s="38" t="str">
        <f t="shared" si="13"/>
        <v/>
      </c>
      <c r="S14" s="34"/>
      <c r="T14" s="35"/>
      <c r="U14" s="36"/>
      <c r="V14" s="37" t="str">
        <f t="shared" si="14"/>
        <v/>
      </c>
      <c r="W14" s="34"/>
      <c r="X14" s="35"/>
      <c r="Y14" s="36"/>
      <c r="Z14" s="37" t="str">
        <f t="shared" si="15"/>
        <v/>
      </c>
      <c r="AA14" s="35"/>
      <c r="AB14" s="35"/>
      <c r="AC14" s="36"/>
      <c r="AD14" s="38" t="str">
        <f t="shared" si="16"/>
        <v/>
      </c>
      <c r="AE14" s="34"/>
      <c r="AF14" s="35"/>
      <c r="AG14" s="36"/>
      <c r="AH14" s="37" t="str">
        <f t="shared" si="17"/>
        <v/>
      </c>
      <c r="AI14" s="34"/>
      <c r="AJ14" s="35"/>
      <c r="AK14" s="36"/>
      <c r="AL14" s="37" t="str">
        <f t="shared" si="18"/>
        <v/>
      </c>
      <c r="AM14" s="34"/>
      <c r="AN14" s="35"/>
      <c r="AO14" s="36"/>
      <c r="AP14" s="37" t="str">
        <f t="shared" si="19"/>
        <v/>
      </c>
      <c r="AQ14" s="34"/>
      <c r="AR14" s="35"/>
      <c r="AS14" s="36"/>
      <c r="AT14" s="37" t="str">
        <f t="shared" si="20"/>
        <v/>
      </c>
      <c r="AU14" s="34"/>
      <c r="AV14" s="35"/>
      <c r="AW14" s="36"/>
      <c r="AX14" s="37" t="str">
        <f t="shared" si="21"/>
        <v/>
      </c>
      <c r="AY14" s="35"/>
      <c r="AZ14" s="35"/>
      <c r="BA14" s="36"/>
      <c r="BB14" s="38" t="str">
        <f t="shared" si="22"/>
        <v/>
      </c>
      <c r="BC14" s="39"/>
      <c r="BD14" s="40"/>
      <c r="BE14" s="41"/>
      <c r="BF14" s="42" t="str">
        <f t="shared" si="4"/>
        <v/>
      </c>
      <c r="BG14" s="32">
        <v>7</v>
      </c>
      <c r="BH14" s="33" t="str">
        <f t="shared" si="23"/>
        <v/>
      </c>
      <c r="BI14" s="43"/>
      <c r="BJ14" s="43"/>
      <c r="BK14" s="44"/>
      <c r="BL14" s="45" t="str">
        <f t="shared" si="24"/>
        <v/>
      </c>
      <c r="BM14" s="46"/>
      <c r="BN14" s="43"/>
      <c r="BO14" s="44"/>
      <c r="BP14" s="47" t="str">
        <f t="shared" si="25"/>
        <v/>
      </c>
      <c r="BQ14" s="34"/>
      <c r="BR14" s="35"/>
      <c r="BS14" s="36"/>
      <c r="BT14" s="37" t="str">
        <f t="shared" si="26"/>
        <v/>
      </c>
      <c r="BU14" s="46"/>
      <c r="BV14" s="43"/>
      <c r="BW14" s="44"/>
      <c r="BX14" s="47" t="str">
        <f t="shared" si="27"/>
        <v/>
      </c>
      <c r="BY14" s="46"/>
      <c r="BZ14" s="43"/>
      <c r="CA14" s="44"/>
      <c r="CB14" s="47" t="str">
        <f t="shared" si="28"/>
        <v/>
      </c>
      <c r="CC14" s="34"/>
      <c r="CD14" s="35"/>
      <c r="CE14" s="36"/>
      <c r="CF14" s="37" t="str">
        <f t="shared" si="29"/>
        <v/>
      </c>
    </row>
    <row r="15" spans="1:84" x14ac:dyDescent="0.25">
      <c r="A15" s="32">
        <v>8</v>
      </c>
      <c r="B15" s="33"/>
      <c r="C15" s="34" t="str">
        <f t="shared" si="30"/>
        <v/>
      </c>
      <c r="D15" s="35" t="str">
        <f t="shared" si="5"/>
        <v/>
      </c>
      <c r="E15" s="36" t="str">
        <f t="shared" si="6"/>
        <v/>
      </c>
      <c r="F15" s="37" t="str">
        <f t="shared" si="7"/>
        <v/>
      </c>
      <c r="G15" s="35" t="str">
        <f t="shared" si="8"/>
        <v/>
      </c>
      <c r="H15" s="35" t="str">
        <f t="shared" si="9"/>
        <v/>
      </c>
      <c r="I15" s="36" t="str">
        <f t="shared" si="10"/>
        <v/>
      </c>
      <c r="J15" s="38" t="str">
        <f t="shared" si="11"/>
        <v/>
      </c>
      <c r="K15" s="34"/>
      <c r="L15" s="35"/>
      <c r="M15" s="36"/>
      <c r="N15" s="37" t="str">
        <f t="shared" si="12"/>
        <v/>
      </c>
      <c r="O15" s="35"/>
      <c r="P15" s="35"/>
      <c r="Q15" s="36"/>
      <c r="R15" s="38" t="str">
        <f t="shared" si="13"/>
        <v/>
      </c>
      <c r="S15" s="34"/>
      <c r="T15" s="35"/>
      <c r="U15" s="36"/>
      <c r="V15" s="37" t="str">
        <f t="shared" si="14"/>
        <v/>
      </c>
      <c r="W15" s="34"/>
      <c r="X15" s="35"/>
      <c r="Y15" s="36"/>
      <c r="Z15" s="37" t="str">
        <f t="shared" si="15"/>
        <v/>
      </c>
      <c r="AA15" s="35"/>
      <c r="AB15" s="35"/>
      <c r="AC15" s="36"/>
      <c r="AD15" s="38" t="str">
        <f t="shared" si="16"/>
        <v/>
      </c>
      <c r="AE15" s="34"/>
      <c r="AF15" s="35"/>
      <c r="AG15" s="36"/>
      <c r="AH15" s="37" t="str">
        <f t="shared" si="17"/>
        <v/>
      </c>
      <c r="AI15" s="34"/>
      <c r="AJ15" s="35"/>
      <c r="AK15" s="36"/>
      <c r="AL15" s="37" t="str">
        <f t="shared" si="18"/>
        <v/>
      </c>
      <c r="AM15" s="34"/>
      <c r="AN15" s="35"/>
      <c r="AO15" s="36"/>
      <c r="AP15" s="37" t="str">
        <f t="shared" si="19"/>
        <v/>
      </c>
      <c r="AQ15" s="34"/>
      <c r="AR15" s="35"/>
      <c r="AS15" s="36"/>
      <c r="AT15" s="37" t="str">
        <f t="shared" si="20"/>
        <v/>
      </c>
      <c r="AU15" s="34"/>
      <c r="AV15" s="35"/>
      <c r="AW15" s="36"/>
      <c r="AX15" s="37" t="str">
        <f t="shared" si="21"/>
        <v/>
      </c>
      <c r="AY15" s="35"/>
      <c r="AZ15" s="35"/>
      <c r="BA15" s="36"/>
      <c r="BB15" s="38" t="str">
        <f t="shared" si="22"/>
        <v/>
      </c>
      <c r="BC15" s="39"/>
      <c r="BD15" s="40"/>
      <c r="BE15" s="41"/>
      <c r="BF15" s="42" t="str">
        <f t="shared" si="4"/>
        <v/>
      </c>
      <c r="BG15" s="32">
        <v>8</v>
      </c>
      <c r="BH15" s="33" t="str">
        <f t="shared" si="23"/>
        <v/>
      </c>
      <c r="BI15" s="43"/>
      <c r="BJ15" s="43"/>
      <c r="BK15" s="44"/>
      <c r="BL15" s="45" t="str">
        <f t="shared" si="24"/>
        <v/>
      </c>
      <c r="BM15" s="46"/>
      <c r="BN15" s="43"/>
      <c r="BO15" s="44"/>
      <c r="BP15" s="47" t="str">
        <f t="shared" si="25"/>
        <v/>
      </c>
      <c r="BQ15" s="34"/>
      <c r="BR15" s="35"/>
      <c r="BS15" s="36"/>
      <c r="BT15" s="37" t="str">
        <f t="shared" si="26"/>
        <v/>
      </c>
      <c r="BU15" s="46"/>
      <c r="BV15" s="43"/>
      <c r="BW15" s="44"/>
      <c r="BX15" s="47" t="str">
        <f t="shared" si="27"/>
        <v/>
      </c>
      <c r="BY15" s="46"/>
      <c r="BZ15" s="43"/>
      <c r="CA15" s="44"/>
      <c r="CB15" s="47" t="str">
        <f t="shared" si="28"/>
        <v/>
      </c>
      <c r="CC15" s="34"/>
      <c r="CD15" s="35"/>
      <c r="CE15" s="36"/>
      <c r="CF15" s="37" t="str">
        <f t="shared" si="29"/>
        <v/>
      </c>
    </row>
    <row r="16" spans="1:84" x14ac:dyDescent="0.25">
      <c r="A16" s="32">
        <v>9</v>
      </c>
      <c r="B16" s="33"/>
      <c r="C16" s="34" t="str">
        <f t="shared" si="30"/>
        <v/>
      </c>
      <c r="D16" s="35" t="str">
        <f t="shared" si="5"/>
        <v/>
      </c>
      <c r="E16" s="36" t="str">
        <f t="shared" si="6"/>
        <v/>
      </c>
      <c r="F16" s="37" t="str">
        <f t="shared" si="7"/>
        <v/>
      </c>
      <c r="G16" s="35" t="str">
        <f t="shared" si="8"/>
        <v/>
      </c>
      <c r="H16" s="35" t="str">
        <f t="shared" si="9"/>
        <v/>
      </c>
      <c r="I16" s="36" t="str">
        <f t="shared" si="10"/>
        <v/>
      </c>
      <c r="J16" s="38" t="str">
        <f t="shared" si="11"/>
        <v/>
      </c>
      <c r="K16" s="34"/>
      <c r="L16" s="35"/>
      <c r="M16" s="36"/>
      <c r="N16" s="37" t="str">
        <f t="shared" si="12"/>
        <v/>
      </c>
      <c r="O16" s="35"/>
      <c r="P16" s="35"/>
      <c r="Q16" s="36"/>
      <c r="R16" s="38" t="str">
        <f t="shared" si="13"/>
        <v/>
      </c>
      <c r="S16" s="34"/>
      <c r="T16" s="35"/>
      <c r="U16" s="36"/>
      <c r="V16" s="37" t="str">
        <f t="shared" si="14"/>
        <v/>
      </c>
      <c r="W16" s="34"/>
      <c r="X16" s="35"/>
      <c r="Y16" s="36"/>
      <c r="Z16" s="37" t="str">
        <f t="shared" si="15"/>
        <v/>
      </c>
      <c r="AA16" s="35"/>
      <c r="AB16" s="35"/>
      <c r="AC16" s="36"/>
      <c r="AD16" s="38" t="str">
        <f t="shared" si="16"/>
        <v/>
      </c>
      <c r="AE16" s="34"/>
      <c r="AF16" s="35"/>
      <c r="AG16" s="36"/>
      <c r="AH16" s="37" t="str">
        <f t="shared" si="17"/>
        <v/>
      </c>
      <c r="AI16" s="34"/>
      <c r="AJ16" s="35"/>
      <c r="AK16" s="36"/>
      <c r="AL16" s="37" t="str">
        <f t="shared" si="18"/>
        <v/>
      </c>
      <c r="AM16" s="34"/>
      <c r="AN16" s="35"/>
      <c r="AO16" s="36"/>
      <c r="AP16" s="37" t="str">
        <f t="shared" si="19"/>
        <v/>
      </c>
      <c r="AQ16" s="34"/>
      <c r="AR16" s="35"/>
      <c r="AS16" s="36"/>
      <c r="AT16" s="37" t="str">
        <f t="shared" si="20"/>
        <v/>
      </c>
      <c r="AU16" s="34"/>
      <c r="AV16" s="35"/>
      <c r="AW16" s="36"/>
      <c r="AX16" s="37" t="str">
        <f t="shared" si="21"/>
        <v/>
      </c>
      <c r="AY16" s="35"/>
      <c r="AZ16" s="35"/>
      <c r="BA16" s="36"/>
      <c r="BB16" s="38" t="str">
        <f t="shared" si="22"/>
        <v/>
      </c>
      <c r="BC16" s="39"/>
      <c r="BD16" s="40"/>
      <c r="BE16" s="41"/>
      <c r="BF16" s="42" t="str">
        <f t="shared" si="4"/>
        <v/>
      </c>
      <c r="BG16" s="32">
        <v>9</v>
      </c>
      <c r="BH16" s="33" t="str">
        <f t="shared" si="23"/>
        <v/>
      </c>
      <c r="BI16" s="43"/>
      <c r="BJ16" s="43"/>
      <c r="BK16" s="44"/>
      <c r="BL16" s="45" t="str">
        <f t="shared" si="24"/>
        <v/>
      </c>
      <c r="BM16" s="46"/>
      <c r="BN16" s="43"/>
      <c r="BO16" s="44"/>
      <c r="BP16" s="47" t="str">
        <f t="shared" si="25"/>
        <v/>
      </c>
      <c r="BQ16" s="34"/>
      <c r="BR16" s="35"/>
      <c r="BS16" s="36"/>
      <c r="BT16" s="37" t="str">
        <f t="shared" si="26"/>
        <v/>
      </c>
      <c r="BU16" s="46"/>
      <c r="BV16" s="43"/>
      <c r="BW16" s="44"/>
      <c r="BX16" s="47" t="str">
        <f t="shared" si="27"/>
        <v/>
      </c>
      <c r="BY16" s="46"/>
      <c r="BZ16" s="43"/>
      <c r="CA16" s="44"/>
      <c r="CB16" s="47" t="str">
        <f t="shared" si="28"/>
        <v/>
      </c>
      <c r="CC16" s="34"/>
      <c r="CD16" s="35"/>
      <c r="CE16" s="36"/>
      <c r="CF16" s="37" t="str">
        <f t="shared" si="29"/>
        <v/>
      </c>
    </row>
    <row r="17" spans="1:84" x14ac:dyDescent="0.25">
      <c r="A17" s="32">
        <v>10</v>
      </c>
      <c r="B17" s="33"/>
      <c r="C17" s="34" t="str">
        <f t="shared" si="30"/>
        <v/>
      </c>
      <c r="D17" s="35" t="str">
        <f t="shared" si="5"/>
        <v/>
      </c>
      <c r="E17" s="36" t="str">
        <f t="shared" si="6"/>
        <v/>
      </c>
      <c r="F17" s="37" t="str">
        <f t="shared" si="7"/>
        <v/>
      </c>
      <c r="G17" s="35" t="str">
        <f t="shared" si="8"/>
        <v/>
      </c>
      <c r="H17" s="35" t="str">
        <f t="shared" si="9"/>
        <v/>
      </c>
      <c r="I17" s="36" t="str">
        <f t="shared" si="10"/>
        <v/>
      </c>
      <c r="J17" s="38" t="str">
        <f t="shared" si="11"/>
        <v/>
      </c>
      <c r="K17" s="34"/>
      <c r="L17" s="35"/>
      <c r="M17" s="36"/>
      <c r="N17" s="37" t="str">
        <f t="shared" si="12"/>
        <v/>
      </c>
      <c r="O17" s="35"/>
      <c r="P17" s="35"/>
      <c r="Q17" s="36"/>
      <c r="R17" s="38" t="str">
        <f t="shared" si="13"/>
        <v/>
      </c>
      <c r="S17" s="34"/>
      <c r="T17" s="35"/>
      <c r="U17" s="36"/>
      <c r="V17" s="37" t="str">
        <f t="shared" si="14"/>
        <v/>
      </c>
      <c r="W17" s="34"/>
      <c r="X17" s="35"/>
      <c r="Y17" s="36"/>
      <c r="Z17" s="37" t="str">
        <f t="shared" si="15"/>
        <v/>
      </c>
      <c r="AA17" s="35"/>
      <c r="AB17" s="35"/>
      <c r="AC17" s="36"/>
      <c r="AD17" s="38" t="str">
        <f t="shared" si="16"/>
        <v/>
      </c>
      <c r="AE17" s="34"/>
      <c r="AF17" s="35"/>
      <c r="AG17" s="36"/>
      <c r="AH17" s="37" t="str">
        <f t="shared" si="17"/>
        <v/>
      </c>
      <c r="AI17" s="34"/>
      <c r="AJ17" s="35"/>
      <c r="AK17" s="36"/>
      <c r="AL17" s="37" t="str">
        <f t="shared" si="18"/>
        <v/>
      </c>
      <c r="AM17" s="34"/>
      <c r="AN17" s="35"/>
      <c r="AO17" s="36"/>
      <c r="AP17" s="37" t="str">
        <f t="shared" si="19"/>
        <v/>
      </c>
      <c r="AQ17" s="34"/>
      <c r="AR17" s="35"/>
      <c r="AS17" s="36"/>
      <c r="AT17" s="37" t="str">
        <f t="shared" si="20"/>
        <v/>
      </c>
      <c r="AU17" s="34"/>
      <c r="AV17" s="35"/>
      <c r="AW17" s="36"/>
      <c r="AX17" s="37" t="str">
        <f t="shared" si="21"/>
        <v/>
      </c>
      <c r="AY17" s="35"/>
      <c r="AZ17" s="35"/>
      <c r="BA17" s="36"/>
      <c r="BB17" s="38" t="str">
        <f t="shared" si="22"/>
        <v/>
      </c>
      <c r="BC17" s="39"/>
      <c r="BD17" s="40"/>
      <c r="BE17" s="41"/>
      <c r="BF17" s="42" t="str">
        <f t="shared" si="4"/>
        <v/>
      </c>
      <c r="BG17" s="32">
        <v>10</v>
      </c>
      <c r="BH17" s="33" t="str">
        <f t="shared" si="23"/>
        <v/>
      </c>
      <c r="BI17" s="43"/>
      <c r="BJ17" s="43"/>
      <c r="BK17" s="44"/>
      <c r="BL17" s="45" t="str">
        <f t="shared" si="24"/>
        <v/>
      </c>
      <c r="BM17" s="46"/>
      <c r="BN17" s="43"/>
      <c r="BO17" s="44"/>
      <c r="BP17" s="47" t="str">
        <f t="shared" si="25"/>
        <v/>
      </c>
      <c r="BQ17" s="34"/>
      <c r="BR17" s="35"/>
      <c r="BS17" s="36"/>
      <c r="BT17" s="37" t="str">
        <f t="shared" si="26"/>
        <v/>
      </c>
      <c r="BU17" s="46"/>
      <c r="BV17" s="43"/>
      <c r="BW17" s="44"/>
      <c r="BX17" s="47" t="str">
        <f t="shared" si="27"/>
        <v/>
      </c>
      <c r="BY17" s="46"/>
      <c r="BZ17" s="43"/>
      <c r="CA17" s="44"/>
      <c r="CB17" s="47" t="str">
        <f t="shared" si="28"/>
        <v/>
      </c>
      <c r="CC17" s="34"/>
      <c r="CD17" s="35"/>
      <c r="CE17" s="36"/>
      <c r="CF17" s="37" t="str">
        <f t="shared" si="29"/>
        <v/>
      </c>
    </row>
    <row r="18" spans="1:84" x14ac:dyDescent="0.25">
      <c r="A18" s="32">
        <v>11</v>
      </c>
      <c r="B18" s="33"/>
      <c r="C18" s="34" t="str">
        <f t="shared" si="30"/>
        <v/>
      </c>
      <c r="D18" s="35" t="str">
        <f t="shared" si="5"/>
        <v/>
      </c>
      <c r="E18" s="36" t="str">
        <f t="shared" si="6"/>
        <v/>
      </c>
      <c r="F18" s="37" t="str">
        <f t="shared" si="7"/>
        <v/>
      </c>
      <c r="G18" s="35" t="str">
        <f t="shared" si="8"/>
        <v/>
      </c>
      <c r="H18" s="35" t="str">
        <f t="shared" si="9"/>
        <v/>
      </c>
      <c r="I18" s="36" t="str">
        <f t="shared" si="10"/>
        <v/>
      </c>
      <c r="J18" s="38" t="str">
        <f t="shared" si="11"/>
        <v/>
      </c>
      <c r="K18" s="34"/>
      <c r="L18" s="35"/>
      <c r="M18" s="36"/>
      <c r="N18" s="37" t="str">
        <f t="shared" si="12"/>
        <v/>
      </c>
      <c r="O18" s="35"/>
      <c r="P18" s="35"/>
      <c r="Q18" s="36"/>
      <c r="R18" s="38" t="str">
        <f t="shared" si="13"/>
        <v/>
      </c>
      <c r="S18" s="34"/>
      <c r="T18" s="35"/>
      <c r="U18" s="36"/>
      <c r="V18" s="37" t="str">
        <f t="shared" si="14"/>
        <v/>
      </c>
      <c r="W18" s="34"/>
      <c r="X18" s="35"/>
      <c r="Y18" s="36"/>
      <c r="Z18" s="37" t="str">
        <f t="shared" si="15"/>
        <v/>
      </c>
      <c r="AA18" s="35"/>
      <c r="AB18" s="35"/>
      <c r="AC18" s="36"/>
      <c r="AD18" s="38" t="str">
        <f t="shared" si="16"/>
        <v/>
      </c>
      <c r="AE18" s="34"/>
      <c r="AF18" s="35"/>
      <c r="AG18" s="36"/>
      <c r="AH18" s="37" t="str">
        <f t="shared" si="17"/>
        <v/>
      </c>
      <c r="AI18" s="34"/>
      <c r="AJ18" s="35"/>
      <c r="AK18" s="36"/>
      <c r="AL18" s="37" t="str">
        <f t="shared" si="18"/>
        <v/>
      </c>
      <c r="AM18" s="34"/>
      <c r="AN18" s="35"/>
      <c r="AO18" s="36"/>
      <c r="AP18" s="37" t="str">
        <f t="shared" si="19"/>
        <v/>
      </c>
      <c r="AQ18" s="34"/>
      <c r="AR18" s="35"/>
      <c r="AS18" s="36"/>
      <c r="AT18" s="37" t="str">
        <f t="shared" si="20"/>
        <v/>
      </c>
      <c r="AU18" s="34"/>
      <c r="AV18" s="35"/>
      <c r="AW18" s="36"/>
      <c r="AX18" s="37" t="str">
        <f t="shared" si="21"/>
        <v/>
      </c>
      <c r="AY18" s="35"/>
      <c r="AZ18" s="35"/>
      <c r="BA18" s="36"/>
      <c r="BB18" s="38" t="str">
        <f t="shared" si="22"/>
        <v/>
      </c>
      <c r="BC18" s="39"/>
      <c r="BD18" s="40"/>
      <c r="BE18" s="41"/>
      <c r="BF18" s="42" t="str">
        <f t="shared" si="4"/>
        <v/>
      </c>
      <c r="BG18" s="32">
        <v>11</v>
      </c>
      <c r="BH18" s="33" t="str">
        <f t="shared" si="23"/>
        <v/>
      </c>
      <c r="BI18" s="43"/>
      <c r="BJ18" s="43"/>
      <c r="BK18" s="44"/>
      <c r="BL18" s="45" t="str">
        <f t="shared" si="24"/>
        <v/>
      </c>
      <c r="BM18" s="46"/>
      <c r="BN18" s="43"/>
      <c r="BO18" s="44"/>
      <c r="BP18" s="47" t="str">
        <f t="shared" si="25"/>
        <v/>
      </c>
      <c r="BQ18" s="34"/>
      <c r="BR18" s="35"/>
      <c r="BS18" s="36"/>
      <c r="BT18" s="37" t="str">
        <f t="shared" si="26"/>
        <v/>
      </c>
      <c r="BU18" s="46"/>
      <c r="BV18" s="43"/>
      <c r="BW18" s="44"/>
      <c r="BX18" s="47" t="str">
        <f t="shared" si="27"/>
        <v/>
      </c>
      <c r="BY18" s="46"/>
      <c r="BZ18" s="43"/>
      <c r="CA18" s="44"/>
      <c r="CB18" s="47" t="str">
        <f t="shared" si="28"/>
        <v/>
      </c>
      <c r="CC18" s="34"/>
      <c r="CD18" s="35"/>
      <c r="CE18" s="36"/>
      <c r="CF18" s="37" t="str">
        <f t="shared" si="29"/>
        <v/>
      </c>
    </row>
    <row r="19" spans="1:84" x14ac:dyDescent="0.25">
      <c r="A19" s="32">
        <v>12</v>
      </c>
      <c r="B19" s="33"/>
      <c r="C19" s="34" t="str">
        <f t="shared" si="30"/>
        <v/>
      </c>
      <c r="D19" s="35" t="str">
        <f t="shared" si="5"/>
        <v/>
      </c>
      <c r="E19" s="36" t="str">
        <f t="shared" si="6"/>
        <v/>
      </c>
      <c r="F19" s="37" t="str">
        <f t="shared" si="7"/>
        <v/>
      </c>
      <c r="G19" s="35" t="str">
        <f t="shared" si="8"/>
        <v/>
      </c>
      <c r="H19" s="35" t="str">
        <f t="shared" si="9"/>
        <v/>
      </c>
      <c r="I19" s="36" t="str">
        <f t="shared" si="10"/>
        <v/>
      </c>
      <c r="J19" s="38" t="str">
        <f t="shared" si="11"/>
        <v/>
      </c>
      <c r="K19" s="34"/>
      <c r="L19" s="35"/>
      <c r="M19" s="36"/>
      <c r="N19" s="37" t="str">
        <f t="shared" si="12"/>
        <v/>
      </c>
      <c r="O19" s="35"/>
      <c r="P19" s="35"/>
      <c r="Q19" s="36"/>
      <c r="R19" s="38" t="str">
        <f t="shared" si="13"/>
        <v/>
      </c>
      <c r="S19" s="34"/>
      <c r="T19" s="35"/>
      <c r="U19" s="36"/>
      <c r="V19" s="37" t="str">
        <f t="shared" si="14"/>
        <v/>
      </c>
      <c r="W19" s="34"/>
      <c r="X19" s="35"/>
      <c r="Y19" s="36"/>
      <c r="Z19" s="37" t="str">
        <f t="shared" si="15"/>
        <v/>
      </c>
      <c r="AA19" s="35"/>
      <c r="AB19" s="35"/>
      <c r="AC19" s="36"/>
      <c r="AD19" s="38" t="str">
        <f t="shared" si="16"/>
        <v/>
      </c>
      <c r="AE19" s="34"/>
      <c r="AF19" s="35"/>
      <c r="AG19" s="36"/>
      <c r="AH19" s="37" t="str">
        <f t="shared" si="17"/>
        <v/>
      </c>
      <c r="AI19" s="34"/>
      <c r="AJ19" s="35"/>
      <c r="AK19" s="36"/>
      <c r="AL19" s="37" t="str">
        <f t="shared" si="18"/>
        <v/>
      </c>
      <c r="AM19" s="34"/>
      <c r="AN19" s="35"/>
      <c r="AO19" s="36"/>
      <c r="AP19" s="37" t="str">
        <f t="shared" si="19"/>
        <v/>
      </c>
      <c r="AQ19" s="34"/>
      <c r="AR19" s="35"/>
      <c r="AS19" s="36"/>
      <c r="AT19" s="37" t="str">
        <f t="shared" si="20"/>
        <v/>
      </c>
      <c r="AU19" s="34"/>
      <c r="AV19" s="35"/>
      <c r="AW19" s="36"/>
      <c r="AX19" s="37" t="str">
        <f t="shared" si="21"/>
        <v/>
      </c>
      <c r="AY19" s="35"/>
      <c r="AZ19" s="35"/>
      <c r="BA19" s="36"/>
      <c r="BB19" s="38" t="str">
        <f t="shared" si="22"/>
        <v/>
      </c>
      <c r="BC19" s="39"/>
      <c r="BD19" s="40"/>
      <c r="BE19" s="41"/>
      <c r="BF19" s="42" t="str">
        <f t="shared" si="4"/>
        <v/>
      </c>
      <c r="BG19" s="32">
        <v>12</v>
      </c>
      <c r="BH19" s="33" t="str">
        <f t="shared" si="23"/>
        <v/>
      </c>
      <c r="BI19" s="43"/>
      <c r="BJ19" s="43"/>
      <c r="BK19" s="44"/>
      <c r="BL19" s="45" t="str">
        <f t="shared" si="24"/>
        <v/>
      </c>
      <c r="BM19" s="46"/>
      <c r="BN19" s="43"/>
      <c r="BO19" s="44"/>
      <c r="BP19" s="47" t="str">
        <f t="shared" si="25"/>
        <v/>
      </c>
      <c r="BQ19" s="34"/>
      <c r="BR19" s="35"/>
      <c r="BS19" s="36"/>
      <c r="BT19" s="37" t="str">
        <f t="shared" si="26"/>
        <v/>
      </c>
      <c r="BU19" s="46"/>
      <c r="BV19" s="43"/>
      <c r="BW19" s="44"/>
      <c r="BX19" s="47" t="str">
        <f t="shared" si="27"/>
        <v/>
      </c>
      <c r="BY19" s="46"/>
      <c r="BZ19" s="43"/>
      <c r="CA19" s="44"/>
      <c r="CB19" s="47" t="str">
        <f t="shared" si="28"/>
        <v/>
      </c>
      <c r="CC19" s="34"/>
      <c r="CD19" s="35"/>
      <c r="CE19" s="36"/>
      <c r="CF19" s="37" t="str">
        <f t="shared" si="29"/>
        <v/>
      </c>
    </row>
    <row r="20" spans="1:84" x14ac:dyDescent="0.25">
      <c r="A20" s="32">
        <v>13</v>
      </c>
      <c r="B20" s="33"/>
      <c r="C20" s="34" t="str">
        <f t="shared" si="30"/>
        <v/>
      </c>
      <c r="D20" s="35" t="str">
        <f t="shared" si="5"/>
        <v/>
      </c>
      <c r="E20" s="36" t="str">
        <f t="shared" si="6"/>
        <v/>
      </c>
      <c r="F20" s="37" t="str">
        <f t="shared" si="7"/>
        <v/>
      </c>
      <c r="G20" s="35" t="str">
        <f t="shared" si="8"/>
        <v/>
      </c>
      <c r="H20" s="35" t="str">
        <f t="shared" si="9"/>
        <v/>
      </c>
      <c r="I20" s="36" t="str">
        <f t="shared" si="10"/>
        <v/>
      </c>
      <c r="J20" s="38" t="str">
        <f t="shared" si="11"/>
        <v/>
      </c>
      <c r="K20" s="34"/>
      <c r="L20" s="35"/>
      <c r="M20" s="36"/>
      <c r="N20" s="37" t="str">
        <f t="shared" si="12"/>
        <v/>
      </c>
      <c r="O20" s="35"/>
      <c r="P20" s="35"/>
      <c r="Q20" s="36"/>
      <c r="R20" s="38" t="str">
        <f t="shared" si="13"/>
        <v/>
      </c>
      <c r="S20" s="34"/>
      <c r="T20" s="35"/>
      <c r="U20" s="36"/>
      <c r="V20" s="37" t="str">
        <f t="shared" si="14"/>
        <v/>
      </c>
      <c r="W20" s="34"/>
      <c r="X20" s="35"/>
      <c r="Y20" s="36"/>
      <c r="Z20" s="37" t="str">
        <f t="shared" si="15"/>
        <v/>
      </c>
      <c r="AA20" s="35"/>
      <c r="AB20" s="35"/>
      <c r="AC20" s="36"/>
      <c r="AD20" s="38" t="str">
        <f t="shared" si="16"/>
        <v/>
      </c>
      <c r="AE20" s="34"/>
      <c r="AF20" s="35"/>
      <c r="AG20" s="36"/>
      <c r="AH20" s="37" t="str">
        <f t="shared" si="17"/>
        <v/>
      </c>
      <c r="AI20" s="34"/>
      <c r="AJ20" s="35"/>
      <c r="AK20" s="36"/>
      <c r="AL20" s="37" t="str">
        <f t="shared" si="18"/>
        <v/>
      </c>
      <c r="AM20" s="34"/>
      <c r="AN20" s="35"/>
      <c r="AO20" s="36"/>
      <c r="AP20" s="37" t="str">
        <f t="shared" si="19"/>
        <v/>
      </c>
      <c r="AQ20" s="34"/>
      <c r="AR20" s="35"/>
      <c r="AS20" s="36"/>
      <c r="AT20" s="37" t="str">
        <f t="shared" si="20"/>
        <v/>
      </c>
      <c r="AU20" s="34"/>
      <c r="AV20" s="35"/>
      <c r="AW20" s="36"/>
      <c r="AX20" s="37" t="str">
        <f t="shared" si="21"/>
        <v/>
      </c>
      <c r="AY20" s="35"/>
      <c r="AZ20" s="35"/>
      <c r="BA20" s="36"/>
      <c r="BB20" s="38" t="str">
        <f t="shared" si="22"/>
        <v/>
      </c>
      <c r="BC20" s="39"/>
      <c r="BD20" s="40"/>
      <c r="BE20" s="41"/>
      <c r="BF20" s="42" t="str">
        <f t="shared" si="4"/>
        <v/>
      </c>
      <c r="BG20" s="32">
        <v>13</v>
      </c>
      <c r="BH20" s="33" t="str">
        <f t="shared" si="23"/>
        <v/>
      </c>
      <c r="BI20" s="43"/>
      <c r="BJ20" s="43"/>
      <c r="BK20" s="44"/>
      <c r="BL20" s="45" t="str">
        <f t="shared" si="24"/>
        <v/>
      </c>
      <c r="BM20" s="46"/>
      <c r="BN20" s="43"/>
      <c r="BO20" s="44"/>
      <c r="BP20" s="47" t="str">
        <f t="shared" si="25"/>
        <v/>
      </c>
      <c r="BQ20" s="34"/>
      <c r="BR20" s="35"/>
      <c r="BS20" s="36"/>
      <c r="BT20" s="37" t="str">
        <f t="shared" si="26"/>
        <v/>
      </c>
      <c r="BU20" s="46"/>
      <c r="BV20" s="43"/>
      <c r="BW20" s="44"/>
      <c r="BX20" s="47" t="str">
        <f t="shared" si="27"/>
        <v/>
      </c>
      <c r="BY20" s="46"/>
      <c r="BZ20" s="43"/>
      <c r="CA20" s="44"/>
      <c r="CB20" s="47" t="str">
        <f t="shared" si="28"/>
        <v/>
      </c>
      <c r="CC20" s="34"/>
      <c r="CD20" s="35"/>
      <c r="CE20" s="36"/>
      <c r="CF20" s="37" t="str">
        <f t="shared" si="29"/>
        <v/>
      </c>
    </row>
    <row r="21" spans="1:84" x14ac:dyDescent="0.25">
      <c r="A21" s="32">
        <v>14</v>
      </c>
      <c r="B21" s="33"/>
      <c r="C21" s="34" t="str">
        <f t="shared" si="30"/>
        <v/>
      </c>
      <c r="D21" s="35" t="str">
        <f t="shared" si="5"/>
        <v/>
      </c>
      <c r="E21" s="36" t="str">
        <f t="shared" si="6"/>
        <v/>
      </c>
      <c r="F21" s="37" t="str">
        <f t="shared" si="7"/>
        <v/>
      </c>
      <c r="G21" s="35" t="str">
        <f t="shared" si="8"/>
        <v/>
      </c>
      <c r="H21" s="35" t="str">
        <f t="shared" si="9"/>
        <v/>
      </c>
      <c r="I21" s="36" t="str">
        <f t="shared" si="10"/>
        <v/>
      </c>
      <c r="J21" s="38" t="str">
        <f t="shared" si="11"/>
        <v/>
      </c>
      <c r="K21" s="34"/>
      <c r="L21" s="35"/>
      <c r="M21" s="36"/>
      <c r="N21" s="37" t="str">
        <f t="shared" si="12"/>
        <v/>
      </c>
      <c r="O21" s="35"/>
      <c r="P21" s="35"/>
      <c r="Q21" s="36"/>
      <c r="R21" s="38" t="str">
        <f t="shared" si="13"/>
        <v/>
      </c>
      <c r="S21" s="34"/>
      <c r="T21" s="35"/>
      <c r="U21" s="36"/>
      <c r="V21" s="37" t="str">
        <f t="shared" si="14"/>
        <v/>
      </c>
      <c r="W21" s="34"/>
      <c r="X21" s="35"/>
      <c r="Y21" s="36"/>
      <c r="Z21" s="37" t="str">
        <f t="shared" si="15"/>
        <v/>
      </c>
      <c r="AA21" s="35"/>
      <c r="AB21" s="35"/>
      <c r="AC21" s="36"/>
      <c r="AD21" s="38" t="str">
        <f t="shared" si="16"/>
        <v/>
      </c>
      <c r="AE21" s="34"/>
      <c r="AF21" s="35"/>
      <c r="AG21" s="36"/>
      <c r="AH21" s="37" t="str">
        <f t="shared" si="17"/>
        <v/>
      </c>
      <c r="AI21" s="34"/>
      <c r="AJ21" s="35"/>
      <c r="AK21" s="36"/>
      <c r="AL21" s="37" t="str">
        <f t="shared" si="18"/>
        <v/>
      </c>
      <c r="AM21" s="34"/>
      <c r="AN21" s="35"/>
      <c r="AO21" s="36"/>
      <c r="AP21" s="37" t="str">
        <f t="shared" si="19"/>
        <v/>
      </c>
      <c r="AQ21" s="34"/>
      <c r="AR21" s="35"/>
      <c r="AS21" s="36"/>
      <c r="AT21" s="37" t="str">
        <f t="shared" si="20"/>
        <v/>
      </c>
      <c r="AU21" s="34"/>
      <c r="AV21" s="35"/>
      <c r="AW21" s="36"/>
      <c r="AX21" s="37" t="str">
        <f t="shared" si="21"/>
        <v/>
      </c>
      <c r="AY21" s="35"/>
      <c r="AZ21" s="35"/>
      <c r="BA21" s="36"/>
      <c r="BB21" s="38" t="str">
        <f t="shared" si="22"/>
        <v/>
      </c>
      <c r="BC21" s="39"/>
      <c r="BD21" s="40"/>
      <c r="BE21" s="41"/>
      <c r="BF21" s="42" t="str">
        <f t="shared" si="4"/>
        <v/>
      </c>
      <c r="BG21" s="32">
        <v>14</v>
      </c>
      <c r="BH21" s="33" t="str">
        <f t="shared" si="23"/>
        <v/>
      </c>
      <c r="BI21" s="43"/>
      <c r="BJ21" s="43"/>
      <c r="BK21" s="44"/>
      <c r="BL21" s="45" t="str">
        <f t="shared" si="24"/>
        <v/>
      </c>
      <c r="BM21" s="46"/>
      <c r="BN21" s="43"/>
      <c r="BO21" s="44"/>
      <c r="BP21" s="47" t="str">
        <f t="shared" si="25"/>
        <v/>
      </c>
      <c r="BQ21" s="34"/>
      <c r="BR21" s="35"/>
      <c r="BS21" s="36"/>
      <c r="BT21" s="37" t="str">
        <f t="shared" si="26"/>
        <v/>
      </c>
      <c r="BU21" s="46"/>
      <c r="BV21" s="43"/>
      <c r="BW21" s="44"/>
      <c r="BX21" s="47" t="str">
        <f t="shared" si="27"/>
        <v/>
      </c>
      <c r="BY21" s="46"/>
      <c r="BZ21" s="43"/>
      <c r="CA21" s="44"/>
      <c r="CB21" s="47" t="str">
        <f t="shared" si="28"/>
        <v/>
      </c>
      <c r="CC21" s="34"/>
      <c r="CD21" s="35"/>
      <c r="CE21" s="36"/>
      <c r="CF21" s="37" t="str">
        <f t="shared" si="29"/>
        <v/>
      </c>
    </row>
    <row r="22" spans="1:84" x14ac:dyDescent="0.25">
      <c r="A22" s="32">
        <v>15</v>
      </c>
      <c r="B22" s="33"/>
      <c r="C22" s="34" t="str">
        <f t="shared" si="30"/>
        <v/>
      </c>
      <c r="D22" s="35" t="str">
        <f t="shared" si="5"/>
        <v/>
      </c>
      <c r="E22" s="36" t="str">
        <f t="shared" si="6"/>
        <v/>
      </c>
      <c r="F22" s="37" t="str">
        <f t="shared" si="7"/>
        <v/>
      </c>
      <c r="G22" s="35" t="str">
        <f t="shared" si="8"/>
        <v/>
      </c>
      <c r="H22" s="35" t="str">
        <f t="shared" si="9"/>
        <v/>
      </c>
      <c r="I22" s="36" t="str">
        <f t="shared" si="10"/>
        <v/>
      </c>
      <c r="J22" s="38" t="str">
        <f t="shared" si="11"/>
        <v/>
      </c>
      <c r="K22" s="34"/>
      <c r="L22" s="35"/>
      <c r="M22" s="36"/>
      <c r="N22" s="37" t="str">
        <f t="shared" si="12"/>
        <v/>
      </c>
      <c r="O22" s="35"/>
      <c r="P22" s="35"/>
      <c r="Q22" s="36"/>
      <c r="R22" s="38" t="str">
        <f t="shared" si="13"/>
        <v/>
      </c>
      <c r="S22" s="34"/>
      <c r="T22" s="35"/>
      <c r="U22" s="36"/>
      <c r="V22" s="37" t="str">
        <f t="shared" si="14"/>
        <v/>
      </c>
      <c r="W22" s="34"/>
      <c r="X22" s="35"/>
      <c r="Y22" s="36"/>
      <c r="Z22" s="37" t="str">
        <f t="shared" si="15"/>
        <v/>
      </c>
      <c r="AA22" s="35"/>
      <c r="AB22" s="35"/>
      <c r="AC22" s="36"/>
      <c r="AD22" s="38" t="str">
        <f t="shared" si="16"/>
        <v/>
      </c>
      <c r="AE22" s="34"/>
      <c r="AF22" s="35"/>
      <c r="AG22" s="36"/>
      <c r="AH22" s="37" t="str">
        <f t="shared" si="17"/>
        <v/>
      </c>
      <c r="AI22" s="34"/>
      <c r="AJ22" s="35"/>
      <c r="AK22" s="36"/>
      <c r="AL22" s="37" t="str">
        <f t="shared" si="18"/>
        <v/>
      </c>
      <c r="AM22" s="34"/>
      <c r="AN22" s="35"/>
      <c r="AO22" s="36"/>
      <c r="AP22" s="37" t="str">
        <f t="shared" si="19"/>
        <v/>
      </c>
      <c r="AQ22" s="34"/>
      <c r="AR22" s="35"/>
      <c r="AS22" s="36"/>
      <c r="AT22" s="37" t="str">
        <f t="shared" si="20"/>
        <v/>
      </c>
      <c r="AU22" s="34"/>
      <c r="AV22" s="35"/>
      <c r="AW22" s="36"/>
      <c r="AX22" s="37" t="str">
        <f t="shared" si="21"/>
        <v/>
      </c>
      <c r="AY22" s="35"/>
      <c r="AZ22" s="35"/>
      <c r="BA22" s="36"/>
      <c r="BB22" s="38" t="str">
        <f t="shared" si="22"/>
        <v/>
      </c>
      <c r="BC22" s="39"/>
      <c r="BD22" s="40"/>
      <c r="BE22" s="41"/>
      <c r="BF22" s="42" t="str">
        <f t="shared" si="4"/>
        <v/>
      </c>
      <c r="BG22" s="32">
        <v>15</v>
      </c>
      <c r="BH22" s="33" t="str">
        <f t="shared" si="23"/>
        <v/>
      </c>
      <c r="BI22" s="43"/>
      <c r="BJ22" s="43"/>
      <c r="BK22" s="44"/>
      <c r="BL22" s="45" t="str">
        <f t="shared" si="24"/>
        <v/>
      </c>
      <c r="BM22" s="46"/>
      <c r="BN22" s="43"/>
      <c r="BO22" s="44"/>
      <c r="BP22" s="47" t="str">
        <f t="shared" si="25"/>
        <v/>
      </c>
      <c r="BQ22" s="34"/>
      <c r="BR22" s="35"/>
      <c r="BS22" s="36"/>
      <c r="BT22" s="37" t="str">
        <f t="shared" si="26"/>
        <v/>
      </c>
      <c r="BU22" s="46"/>
      <c r="BV22" s="43"/>
      <c r="BW22" s="44"/>
      <c r="BX22" s="47" t="str">
        <f t="shared" si="27"/>
        <v/>
      </c>
      <c r="BY22" s="46"/>
      <c r="BZ22" s="43"/>
      <c r="CA22" s="44"/>
      <c r="CB22" s="47" t="str">
        <f t="shared" si="28"/>
        <v/>
      </c>
      <c r="CC22" s="34"/>
      <c r="CD22" s="35"/>
      <c r="CE22" s="36"/>
      <c r="CF22" s="37" t="str">
        <f t="shared" si="29"/>
        <v/>
      </c>
    </row>
    <row r="23" spans="1:84" x14ac:dyDescent="0.25">
      <c r="A23" s="32">
        <v>16</v>
      </c>
      <c r="B23" s="33"/>
      <c r="C23" s="34" t="str">
        <f t="shared" si="30"/>
        <v/>
      </c>
      <c r="D23" s="35" t="str">
        <f t="shared" si="5"/>
        <v/>
      </c>
      <c r="E23" s="36" t="str">
        <f t="shared" si="6"/>
        <v/>
      </c>
      <c r="F23" s="37" t="str">
        <f t="shared" si="7"/>
        <v/>
      </c>
      <c r="G23" s="35" t="str">
        <f t="shared" si="8"/>
        <v/>
      </c>
      <c r="H23" s="35" t="str">
        <f t="shared" si="9"/>
        <v/>
      </c>
      <c r="I23" s="36" t="str">
        <f t="shared" si="10"/>
        <v/>
      </c>
      <c r="J23" s="38" t="str">
        <f t="shared" si="11"/>
        <v/>
      </c>
      <c r="K23" s="34"/>
      <c r="L23" s="35"/>
      <c r="M23" s="36"/>
      <c r="N23" s="37" t="str">
        <f t="shared" si="12"/>
        <v/>
      </c>
      <c r="O23" s="35"/>
      <c r="P23" s="35"/>
      <c r="Q23" s="36"/>
      <c r="R23" s="38" t="str">
        <f t="shared" si="13"/>
        <v/>
      </c>
      <c r="S23" s="34"/>
      <c r="T23" s="35"/>
      <c r="U23" s="36"/>
      <c r="V23" s="37" t="str">
        <f t="shared" si="14"/>
        <v/>
      </c>
      <c r="W23" s="34"/>
      <c r="X23" s="35"/>
      <c r="Y23" s="36"/>
      <c r="Z23" s="37" t="str">
        <f t="shared" si="15"/>
        <v/>
      </c>
      <c r="AA23" s="35"/>
      <c r="AB23" s="35"/>
      <c r="AC23" s="36"/>
      <c r="AD23" s="38" t="str">
        <f t="shared" si="16"/>
        <v/>
      </c>
      <c r="AE23" s="34"/>
      <c r="AF23" s="35"/>
      <c r="AG23" s="36"/>
      <c r="AH23" s="37" t="str">
        <f t="shared" si="17"/>
        <v/>
      </c>
      <c r="AI23" s="34"/>
      <c r="AJ23" s="35"/>
      <c r="AK23" s="36"/>
      <c r="AL23" s="37" t="str">
        <f t="shared" si="18"/>
        <v/>
      </c>
      <c r="AM23" s="34"/>
      <c r="AN23" s="35"/>
      <c r="AO23" s="36"/>
      <c r="AP23" s="37" t="str">
        <f t="shared" si="19"/>
        <v/>
      </c>
      <c r="AQ23" s="34"/>
      <c r="AR23" s="35"/>
      <c r="AS23" s="36"/>
      <c r="AT23" s="37" t="str">
        <f t="shared" si="20"/>
        <v/>
      </c>
      <c r="AU23" s="34"/>
      <c r="AV23" s="35"/>
      <c r="AW23" s="36"/>
      <c r="AX23" s="37" t="str">
        <f t="shared" si="21"/>
        <v/>
      </c>
      <c r="AY23" s="35"/>
      <c r="AZ23" s="35"/>
      <c r="BA23" s="36"/>
      <c r="BB23" s="38" t="str">
        <f t="shared" si="22"/>
        <v/>
      </c>
      <c r="BC23" s="39"/>
      <c r="BD23" s="40"/>
      <c r="BE23" s="41"/>
      <c r="BF23" s="42" t="str">
        <f t="shared" si="4"/>
        <v/>
      </c>
      <c r="BG23" s="32">
        <v>16</v>
      </c>
      <c r="BH23" s="33" t="str">
        <f t="shared" si="23"/>
        <v/>
      </c>
      <c r="BI23" s="43"/>
      <c r="BJ23" s="43"/>
      <c r="BK23" s="44"/>
      <c r="BL23" s="45" t="str">
        <f t="shared" si="24"/>
        <v/>
      </c>
      <c r="BM23" s="46"/>
      <c r="BN23" s="43"/>
      <c r="BO23" s="44"/>
      <c r="BP23" s="47" t="str">
        <f t="shared" si="25"/>
        <v/>
      </c>
      <c r="BQ23" s="34"/>
      <c r="BR23" s="35"/>
      <c r="BS23" s="36"/>
      <c r="BT23" s="37" t="str">
        <f t="shared" si="26"/>
        <v/>
      </c>
      <c r="BU23" s="46"/>
      <c r="BV23" s="43"/>
      <c r="BW23" s="44"/>
      <c r="BX23" s="47" t="str">
        <f t="shared" si="27"/>
        <v/>
      </c>
      <c r="BY23" s="46"/>
      <c r="BZ23" s="43"/>
      <c r="CA23" s="44"/>
      <c r="CB23" s="47" t="str">
        <f t="shared" si="28"/>
        <v/>
      </c>
      <c r="CC23" s="34"/>
      <c r="CD23" s="35"/>
      <c r="CE23" s="36"/>
      <c r="CF23" s="37" t="str">
        <f t="shared" si="29"/>
        <v/>
      </c>
    </row>
    <row r="24" spans="1:84" x14ac:dyDescent="0.25">
      <c r="A24" s="32">
        <v>17</v>
      </c>
      <c r="B24" s="33"/>
      <c r="C24" s="34" t="str">
        <f t="shared" si="30"/>
        <v/>
      </c>
      <c r="D24" s="35" t="str">
        <f t="shared" si="5"/>
        <v/>
      </c>
      <c r="E24" s="36" t="str">
        <f t="shared" si="6"/>
        <v/>
      </c>
      <c r="F24" s="37" t="str">
        <f t="shared" si="7"/>
        <v/>
      </c>
      <c r="G24" s="35" t="str">
        <f t="shared" si="8"/>
        <v/>
      </c>
      <c r="H24" s="35" t="str">
        <f t="shared" si="9"/>
        <v/>
      </c>
      <c r="I24" s="36" t="str">
        <f t="shared" si="10"/>
        <v/>
      </c>
      <c r="J24" s="38" t="str">
        <f t="shared" si="11"/>
        <v/>
      </c>
      <c r="K24" s="34"/>
      <c r="L24" s="35"/>
      <c r="M24" s="36"/>
      <c r="N24" s="37" t="str">
        <f t="shared" si="12"/>
        <v/>
      </c>
      <c r="O24" s="35"/>
      <c r="P24" s="35"/>
      <c r="Q24" s="36"/>
      <c r="R24" s="38" t="str">
        <f t="shared" si="13"/>
        <v/>
      </c>
      <c r="S24" s="34"/>
      <c r="T24" s="35"/>
      <c r="U24" s="36"/>
      <c r="V24" s="37" t="str">
        <f t="shared" si="14"/>
        <v/>
      </c>
      <c r="W24" s="34"/>
      <c r="X24" s="35"/>
      <c r="Y24" s="36"/>
      <c r="Z24" s="37" t="str">
        <f t="shared" si="15"/>
        <v/>
      </c>
      <c r="AA24" s="35"/>
      <c r="AB24" s="35"/>
      <c r="AC24" s="36"/>
      <c r="AD24" s="38" t="str">
        <f t="shared" si="16"/>
        <v/>
      </c>
      <c r="AE24" s="34"/>
      <c r="AF24" s="35"/>
      <c r="AG24" s="36"/>
      <c r="AH24" s="37" t="str">
        <f t="shared" si="17"/>
        <v/>
      </c>
      <c r="AI24" s="34"/>
      <c r="AJ24" s="35"/>
      <c r="AK24" s="36"/>
      <c r="AL24" s="37" t="str">
        <f t="shared" si="18"/>
        <v/>
      </c>
      <c r="AM24" s="34"/>
      <c r="AN24" s="35"/>
      <c r="AO24" s="36"/>
      <c r="AP24" s="37" t="str">
        <f t="shared" si="19"/>
        <v/>
      </c>
      <c r="AQ24" s="34"/>
      <c r="AR24" s="35"/>
      <c r="AS24" s="36"/>
      <c r="AT24" s="37" t="str">
        <f t="shared" si="20"/>
        <v/>
      </c>
      <c r="AU24" s="34"/>
      <c r="AV24" s="35"/>
      <c r="AW24" s="36"/>
      <c r="AX24" s="37" t="str">
        <f t="shared" si="21"/>
        <v/>
      </c>
      <c r="AY24" s="35"/>
      <c r="AZ24" s="35"/>
      <c r="BA24" s="36"/>
      <c r="BB24" s="38" t="str">
        <f t="shared" si="22"/>
        <v/>
      </c>
      <c r="BC24" s="39"/>
      <c r="BD24" s="40"/>
      <c r="BE24" s="41"/>
      <c r="BF24" s="42" t="str">
        <f t="shared" si="4"/>
        <v/>
      </c>
      <c r="BG24" s="32">
        <v>17</v>
      </c>
      <c r="BH24" s="33" t="str">
        <f t="shared" si="23"/>
        <v/>
      </c>
      <c r="BI24" s="43"/>
      <c r="BJ24" s="43"/>
      <c r="BK24" s="44"/>
      <c r="BL24" s="45" t="str">
        <f t="shared" si="24"/>
        <v/>
      </c>
      <c r="BM24" s="46"/>
      <c r="BN24" s="43"/>
      <c r="BO24" s="44"/>
      <c r="BP24" s="47" t="str">
        <f t="shared" si="25"/>
        <v/>
      </c>
      <c r="BQ24" s="34"/>
      <c r="BR24" s="35"/>
      <c r="BS24" s="36"/>
      <c r="BT24" s="37" t="str">
        <f t="shared" si="26"/>
        <v/>
      </c>
      <c r="BU24" s="46"/>
      <c r="BV24" s="43"/>
      <c r="BW24" s="44"/>
      <c r="BX24" s="47" t="str">
        <f t="shared" si="27"/>
        <v/>
      </c>
      <c r="BY24" s="46"/>
      <c r="BZ24" s="43"/>
      <c r="CA24" s="44"/>
      <c r="CB24" s="47" t="str">
        <f t="shared" si="28"/>
        <v/>
      </c>
      <c r="CC24" s="34"/>
      <c r="CD24" s="35"/>
      <c r="CE24" s="36"/>
      <c r="CF24" s="37" t="str">
        <f t="shared" si="29"/>
        <v/>
      </c>
    </row>
    <row r="25" spans="1:84" x14ac:dyDescent="0.25">
      <c r="A25" s="32">
        <v>18</v>
      </c>
      <c r="B25" s="33"/>
      <c r="C25" s="34" t="str">
        <f t="shared" si="30"/>
        <v/>
      </c>
      <c r="D25" s="35" t="str">
        <f t="shared" si="5"/>
        <v/>
      </c>
      <c r="E25" s="36" t="str">
        <f t="shared" si="6"/>
        <v/>
      </c>
      <c r="F25" s="37" t="str">
        <f t="shared" si="7"/>
        <v/>
      </c>
      <c r="G25" s="35" t="str">
        <f t="shared" si="8"/>
        <v/>
      </c>
      <c r="H25" s="35" t="str">
        <f t="shared" si="9"/>
        <v/>
      </c>
      <c r="I25" s="36" t="str">
        <f t="shared" si="10"/>
        <v/>
      </c>
      <c r="J25" s="38" t="str">
        <f t="shared" si="11"/>
        <v/>
      </c>
      <c r="K25" s="34"/>
      <c r="L25" s="35"/>
      <c r="M25" s="36"/>
      <c r="N25" s="37" t="str">
        <f t="shared" si="12"/>
        <v/>
      </c>
      <c r="O25" s="35"/>
      <c r="P25" s="35"/>
      <c r="Q25" s="36"/>
      <c r="R25" s="38" t="str">
        <f t="shared" si="13"/>
        <v/>
      </c>
      <c r="S25" s="34"/>
      <c r="T25" s="35"/>
      <c r="U25" s="36"/>
      <c r="V25" s="37" t="str">
        <f t="shared" si="14"/>
        <v/>
      </c>
      <c r="W25" s="34"/>
      <c r="X25" s="35"/>
      <c r="Y25" s="36"/>
      <c r="Z25" s="37" t="str">
        <f t="shared" si="15"/>
        <v/>
      </c>
      <c r="AA25" s="35"/>
      <c r="AB25" s="35"/>
      <c r="AC25" s="36"/>
      <c r="AD25" s="38" t="str">
        <f t="shared" si="16"/>
        <v/>
      </c>
      <c r="AE25" s="34"/>
      <c r="AF25" s="35"/>
      <c r="AG25" s="36"/>
      <c r="AH25" s="37" t="str">
        <f t="shared" si="17"/>
        <v/>
      </c>
      <c r="AI25" s="34"/>
      <c r="AJ25" s="35"/>
      <c r="AK25" s="36"/>
      <c r="AL25" s="37" t="str">
        <f t="shared" si="18"/>
        <v/>
      </c>
      <c r="AM25" s="34"/>
      <c r="AN25" s="35"/>
      <c r="AO25" s="36"/>
      <c r="AP25" s="37" t="str">
        <f t="shared" si="19"/>
        <v/>
      </c>
      <c r="AQ25" s="34"/>
      <c r="AR25" s="35"/>
      <c r="AS25" s="36"/>
      <c r="AT25" s="37" t="str">
        <f t="shared" si="20"/>
        <v/>
      </c>
      <c r="AU25" s="34"/>
      <c r="AV25" s="35"/>
      <c r="AW25" s="36"/>
      <c r="AX25" s="37" t="str">
        <f t="shared" si="21"/>
        <v/>
      </c>
      <c r="AY25" s="35"/>
      <c r="AZ25" s="35"/>
      <c r="BA25" s="36"/>
      <c r="BB25" s="38" t="str">
        <f t="shared" si="22"/>
        <v/>
      </c>
      <c r="BC25" s="39"/>
      <c r="BD25" s="40"/>
      <c r="BE25" s="41"/>
      <c r="BF25" s="42" t="str">
        <f t="shared" si="4"/>
        <v/>
      </c>
      <c r="BG25" s="32">
        <v>18</v>
      </c>
      <c r="BH25" s="33" t="str">
        <f t="shared" si="23"/>
        <v/>
      </c>
      <c r="BI25" s="43"/>
      <c r="BJ25" s="43"/>
      <c r="BK25" s="44"/>
      <c r="BL25" s="45" t="str">
        <f t="shared" si="24"/>
        <v/>
      </c>
      <c r="BM25" s="46"/>
      <c r="BN25" s="43"/>
      <c r="BO25" s="44"/>
      <c r="BP25" s="47" t="str">
        <f t="shared" si="25"/>
        <v/>
      </c>
      <c r="BQ25" s="34"/>
      <c r="BR25" s="35"/>
      <c r="BS25" s="36"/>
      <c r="BT25" s="37" t="str">
        <f t="shared" si="26"/>
        <v/>
      </c>
      <c r="BU25" s="46"/>
      <c r="BV25" s="43"/>
      <c r="BW25" s="44"/>
      <c r="BX25" s="47" t="str">
        <f t="shared" si="27"/>
        <v/>
      </c>
      <c r="BY25" s="46"/>
      <c r="BZ25" s="43"/>
      <c r="CA25" s="44"/>
      <c r="CB25" s="47" t="str">
        <f t="shared" si="28"/>
        <v/>
      </c>
      <c r="CC25" s="34"/>
      <c r="CD25" s="35"/>
      <c r="CE25" s="36"/>
      <c r="CF25" s="37" t="str">
        <f t="shared" si="29"/>
        <v/>
      </c>
    </row>
    <row r="26" spans="1:84" x14ac:dyDescent="0.25">
      <c r="A26" s="32">
        <v>19</v>
      </c>
      <c r="B26" s="48"/>
      <c r="C26" s="34" t="str">
        <f t="shared" si="30"/>
        <v/>
      </c>
      <c r="D26" s="35" t="str">
        <f t="shared" si="5"/>
        <v/>
      </c>
      <c r="E26" s="36" t="str">
        <f t="shared" si="6"/>
        <v/>
      </c>
      <c r="F26" s="37" t="str">
        <f t="shared" si="7"/>
        <v/>
      </c>
      <c r="G26" s="35" t="str">
        <f t="shared" si="8"/>
        <v/>
      </c>
      <c r="H26" s="35" t="str">
        <f t="shared" si="9"/>
        <v/>
      </c>
      <c r="I26" s="36" t="str">
        <f t="shared" si="10"/>
        <v/>
      </c>
      <c r="J26" s="38" t="str">
        <f t="shared" si="11"/>
        <v/>
      </c>
      <c r="K26" s="34"/>
      <c r="L26" s="35"/>
      <c r="M26" s="36"/>
      <c r="N26" s="37" t="str">
        <f t="shared" si="12"/>
        <v/>
      </c>
      <c r="O26" s="35"/>
      <c r="P26" s="35"/>
      <c r="Q26" s="36"/>
      <c r="R26" s="38" t="str">
        <f t="shared" si="13"/>
        <v/>
      </c>
      <c r="S26" s="34"/>
      <c r="T26" s="35"/>
      <c r="U26" s="36"/>
      <c r="V26" s="37" t="str">
        <f t="shared" si="14"/>
        <v/>
      </c>
      <c r="W26" s="34"/>
      <c r="X26" s="35"/>
      <c r="Y26" s="36"/>
      <c r="Z26" s="37" t="str">
        <f t="shared" si="15"/>
        <v/>
      </c>
      <c r="AA26" s="35"/>
      <c r="AB26" s="35"/>
      <c r="AC26" s="36"/>
      <c r="AD26" s="38" t="str">
        <f t="shared" si="16"/>
        <v/>
      </c>
      <c r="AE26" s="34"/>
      <c r="AF26" s="35"/>
      <c r="AG26" s="36"/>
      <c r="AH26" s="37" t="str">
        <f t="shared" si="17"/>
        <v/>
      </c>
      <c r="AI26" s="34"/>
      <c r="AJ26" s="35"/>
      <c r="AK26" s="36"/>
      <c r="AL26" s="37" t="str">
        <f t="shared" si="18"/>
        <v/>
      </c>
      <c r="AM26" s="34"/>
      <c r="AN26" s="35"/>
      <c r="AO26" s="36"/>
      <c r="AP26" s="37" t="str">
        <f t="shared" si="19"/>
        <v/>
      </c>
      <c r="AQ26" s="34"/>
      <c r="AR26" s="35"/>
      <c r="AS26" s="36"/>
      <c r="AT26" s="37" t="str">
        <f t="shared" si="20"/>
        <v/>
      </c>
      <c r="AU26" s="34"/>
      <c r="AV26" s="35"/>
      <c r="AW26" s="36"/>
      <c r="AX26" s="37" t="str">
        <f t="shared" si="21"/>
        <v/>
      </c>
      <c r="AY26" s="35"/>
      <c r="AZ26" s="35"/>
      <c r="BA26" s="36"/>
      <c r="BB26" s="38" t="str">
        <f t="shared" si="22"/>
        <v/>
      </c>
      <c r="BC26" s="39"/>
      <c r="BD26" s="40"/>
      <c r="BE26" s="41"/>
      <c r="BF26" s="42" t="str">
        <f t="shared" si="4"/>
        <v/>
      </c>
      <c r="BG26" s="32">
        <v>19</v>
      </c>
      <c r="BH26" s="48" t="str">
        <f t="shared" si="23"/>
        <v/>
      </c>
      <c r="BI26" s="43"/>
      <c r="BJ26" s="43"/>
      <c r="BK26" s="44"/>
      <c r="BL26" s="45" t="str">
        <f t="shared" si="24"/>
        <v/>
      </c>
      <c r="BM26" s="46"/>
      <c r="BN26" s="43"/>
      <c r="BO26" s="44"/>
      <c r="BP26" s="47" t="str">
        <f t="shared" si="25"/>
        <v/>
      </c>
      <c r="BQ26" s="34"/>
      <c r="BR26" s="35"/>
      <c r="BS26" s="36"/>
      <c r="BT26" s="37" t="str">
        <f t="shared" si="26"/>
        <v/>
      </c>
      <c r="BU26" s="46"/>
      <c r="BV26" s="43"/>
      <c r="BW26" s="44"/>
      <c r="BX26" s="47" t="str">
        <f t="shared" si="27"/>
        <v/>
      </c>
      <c r="BY26" s="46"/>
      <c r="BZ26" s="43"/>
      <c r="CA26" s="44"/>
      <c r="CB26" s="47" t="str">
        <f t="shared" si="28"/>
        <v/>
      </c>
      <c r="CC26" s="34"/>
      <c r="CD26" s="35"/>
      <c r="CE26" s="36"/>
      <c r="CF26" s="37" t="str">
        <f t="shared" si="29"/>
        <v/>
      </c>
    </row>
    <row r="27" spans="1:84" x14ac:dyDescent="0.25">
      <c r="A27" s="32">
        <v>20</v>
      </c>
      <c r="B27" s="33"/>
      <c r="C27" s="34" t="str">
        <f t="shared" si="30"/>
        <v/>
      </c>
      <c r="D27" s="35" t="str">
        <f t="shared" si="5"/>
        <v/>
      </c>
      <c r="E27" s="36" t="str">
        <f t="shared" si="6"/>
        <v/>
      </c>
      <c r="F27" s="37" t="str">
        <f t="shared" si="7"/>
        <v/>
      </c>
      <c r="G27" s="35" t="str">
        <f t="shared" si="8"/>
        <v/>
      </c>
      <c r="H27" s="35" t="str">
        <f t="shared" si="9"/>
        <v/>
      </c>
      <c r="I27" s="36" t="str">
        <f t="shared" si="10"/>
        <v/>
      </c>
      <c r="J27" s="38" t="str">
        <f t="shared" si="11"/>
        <v/>
      </c>
      <c r="K27" s="34"/>
      <c r="L27" s="35"/>
      <c r="M27" s="36"/>
      <c r="N27" s="37" t="str">
        <f t="shared" si="12"/>
        <v/>
      </c>
      <c r="O27" s="35"/>
      <c r="P27" s="35"/>
      <c r="Q27" s="36"/>
      <c r="R27" s="38" t="str">
        <f t="shared" si="13"/>
        <v/>
      </c>
      <c r="S27" s="34"/>
      <c r="T27" s="35"/>
      <c r="U27" s="36"/>
      <c r="V27" s="37" t="str">
        <f t="shared" si="14"/>
        <v/>
      </c>
      <c r="W27" s="34"/>
      <c r="X27" s="35"/>
      <c r="Y27" s="36"/>
      <c r="Z27" s="37" t="str">
        <f t="shared" si="15"/>
        <v/>
      </c>
      <c r="AA27" s="35"/>
      <c r="AB27" s="35"/>
      <c r="AC27" s="36"/>
      <c r="AD27" s="38" t="str">
        <f t="shared" si="16"/>
        <v/>
      </c>
      <c r="AE27" s="34"/>
      <c r="AF27" s="35"/>
      <c r="AG27" s="36"/>
      <c r="AH27" s="37" t="str">
        <f t="shared" si="17"/>
        <v/>
      </c>
      <c r="AI27" s="34"/>
      <c r="AJ27" s="35"/>
      <c r="AK27" s="36"/>
      <c r="AL27" s="37" t="str">
        <f t="shared" si="18"/>
        <v/>
      </c>
      <c r="AM27" s="34"/>
      <c r="AN27" s="35"/>
      <c r="AO27" s="36"/>
      <c r="AP27" s="37" t="str">
        <f t="shared" si="19"/>
        <v/>
      </c>
      <c r="AQ27" s="34"/>
      <c r="AR27" s="35"/>
      <c r="AS27" s="36"/>
      <c r="AT27" s="37" t="str">
        <f t="shared" si="20"/>
        <v/>
      </c>
      <c r="AU27" s="34"/>
      <c r="AV27" s="35"/>
      <c r="AW27" s="36"/>
      <c r="AX27" s="37" t="str">
        <f t="shared" si="21"/>
        <v/>
      </c>
      <c r="AY27" s="35"/>
      <c r="AZ27" s="35"/>
      <c r="BA27" s="36"/>
      <c r="BB27" s="38" t="str">
        <f t="shared" si="22"/>
        <v/>
      </c>
      <c r="BC27" s="39"/>
      <c r="BD27" s="40"/>
      <c r="BE27" s="41"/>
      <c r="BF27" s="42" t="str">
        <f t="shared" si="4"/>
        <v/>
      </c>
      <c r="BG27" s="32">
        <v>20</v>
      </c>
      <c r="BH27" s="33" t="str">
        <f t="shared" si="23"/>
        <v/>
      </c>
      <c r="BI27" s="43"/>
      <c r="BJ27" s="43"/>
      <c r="BK27" s="44"/>
      <c r="BL27" s="45" t="str">
        <f t="shared" si="24"/>
        <v/>
      </c>
      <c r="BM27" s="46"/>
      <c r="BN27" s="43"/>
      <c r="BO27" s="44"/>
      <c r="BP27" s="47" t="str">
        <f t="shared" si="25"/>
        <v/>
      </c>
      <c r="BQ27" s="34"/>
      <c r="BR27" s="35"/>
      <c r="BS27" s="36"/>
      <c r="BT27" s="37" t="str">
        <f t="shared" si="26"/>
        <v/>
      </c>
      <c r="BU27" s="46"/>
      <c r="BV27" s="43"/>
      <c r="BW27" s="44"/>
      <c r="BX27" s="47" t="str">
        <f t="shared" si="27"/>
        <v/>
      </c>
      <c r="BY27" s="46"/>
      <c r="BZ27" s="43"/>
      <c r="CA27" s="44"/>
      <c r="CB27" s="47" t="str">
        <f t="shared" si="28"/>
        <v/>
      </c>
      <c r="CC27" s="34"/>
      <c r="CD27" s="35"/>
      <c r="CE27" s="36"/>
      <c r="CF27" s="37" t="str">
        <f t="shared" si="29"/>
        <v/>
      </c>
    </row>
    <row r="28" spans="1:84" x14ac:dyDescent="0.25">
      <c r="A28" s="32">
        <v>21</v>
      </c>
      <c r="B28" s="33"/>
      <c r="C28" s="34" t="str">
        <f t="shared" si="30"/>
        <v/>
      </c>
      <c r="D28" s="35" t="str">
        <f t="shared" si="5"/>
        <v/>
      </c>
      <c r="E28" s="36" t="str">
        <f t="shared" si="6"/>
        <v/>
      </c>
      <c r="F28" s="37" t="str">
        <f t="shared" si="7"/>
        <v/>
      </c>
      <c r="G28" s="35" t="str">
        <f t="shared" si="8"/>
        <v/>
      </c>
      <c r="H28" s="35" t="str">
        <f t="shared" si="9"/>
        <v/>
      </c>
      <c r="I28" s="36" t="str">
        <f t="shared" si="10"/>
        <v/>
      </c>
      <c r="J28" s="38" t="str">
        <f t="shared" si="11"/>
        <v/>
      </c>
      <c r="K28" s="34"/>
      <c r="L28" s="35"/>
      <c r="M28" s="36"/>
      <c r="N28" s="37" t="str">
        <f t="shared" si="12"/>
        <v/>
      </c>
      <c r="O28" s="35"/>
      <c r="P28" s="35"/>
      <c r="Q28" s="36"/>
      <c r="R28" s="38" t="str">
        <f t="shared" si="13"/>
        <v/>
      </c>
      <c r="S28" s="34"/>
      <c r="T28" s="35"/>
      <c r="U28" s="36"/>
      <c r="V28" s="37" t="str">
        <f t="shared" si="14"/>
        <v/>
      </c>
      <c r="W28" s="34"/>
      <c r="X28" s="35"/>
      <c r="Y28" s="36"/>
      <c r="Z28" s="37" t="str">
        <f t="shared" si="15"/>
        <v/>
      </c>
      <c r="AA28" s="35"/>
      <c r="AB28" s="35"/>
      <c r="AC28" s="36"/>
      <c r="AD28" s="38" t="str">
        <f t="shared" si="16"/>
        <v/>
      </c>
      <c r="AE28" s="34"/>
      <c r="AF28" s="35"/>
      <c r="AG28" s="36"/>
      <c r="AH28" s="37" t="str">
        <f t="shared" si="17"/>
        <v/>
      </c>
      <c r="AI28" s="34"/>
      <c r="AJ28" s="35"/>
      <c r="AK28" s="36"/>
      <c r="AL28" s="37" t="str">
        <f t="shared" si="18"/>
        <v/>
      </c>
      <c r="AM28" s="34"/>
      <c r="AN28" s="35"/>
      <c r="AO28" s="36"/>
      <c r="AP28" s="37" t="str">
        <f t="shared" si="19"/>
        <v/>
      </c>
      <c r="AQ28" s="34"/>
      <c r="AR28" s="35"/>
      <c r="AS28" s="36"/>
      <c r="AT28" s="37" t="str">
        <f t="shared" si="20"/>
        <v/>
      </c>
      <c r="AU28" s="34"/>
      <c r="AV28" s="35"/>
      <c r="AW28" s="36"/>
      <c r="AX28" s="37" t="str">
        <f t="shared" si="21"/>
        <v/>
      </c>
      <c r="AY28" s="35"/>
      <c r="AZ28" s="35"/>
      <c r="BA28" s="36"/>
      <c r="BB28" s="38" t="str">
        <f t="shared" si="22"/>
        <v/>
      </c>
      <c r="BC28" s="39"/>
      <c r="BD28" s="40"/>
      <c r="BE28" s="41"/>
      <c r="BF28" s="42" t="str">
        <f t="shared" si="4"/>
        <v/>
      </c>
      <c r="BG28" s="32">
        <v>21</v>
      </c>
      <c r="BH28" s="33" t="str">
        <f t="shared" si="23"/>
        <v/>
      </c>
      <c r="BI28" s="43"/>
      <c r="BJ28" s="43"/>
      <c r="BK28" s="44"/>
      <c r="BL28" s="45" t="str">
        <f t="shared" si="24"/>
        <v/>
      </c>
      <c r="BM28" s="46"/>
      <c r="BN28" s="43"/>
      <c r="BO28" s="44"/>
      <c r="BP28" s="47" t="str">
        <f t="shared" si="25"/>
        <v/>
      </c>
      <c r="BQ28" s="34"/>
      <c r="BR28" s="35"/>
      <c r="BS28" s="36"/>
      <c r="BT28" s="37" t="str">
        <f t="shared" si="26"/>
        <v/>
      </c>
      <c r="BU28" s="46"/>
      <c r="BV28" s="43"/>
      <c r="BW28" s="44"/>
      <c r="BX28" s="47" t="str">
        <f t="shared" si="27"/>
        <v/>
      </c>
      <c r="BY28" s="46"/>
      <c r="BZ28" s="43"/>
      <c r="CA28" s="44"/>
      <c r="CB28" s="47" t="str">
        <f t="shared" si="28"/>
        <v/>
      </c>
      <c r="CC28" s="34"/>
      <c r="CD28" s="35"/>
      <c r="CE28" s="36"/>
      <c r="CF28" s="37" t="str">
        <f t="shared" si="29"/>
        <v/>
      </c>
    </row>
    <row r="29" spans="1:84" x14ac:dyDescent="0.25">
      <c r="A29" s="32">
        <v>22</v>
      </c>
      <c r="B29" s="33"/>
      <c r="C29" s="34" t="str">
        <f t="shared" si="30"/>
        <v/>
      </c>
      <c r="D29" s="35" t="str">
        <f t="shared" si="5"/>
        <v/>
      </c>
      <c r="E29" s="36" t="str">
        <f t="shared" si="6"/>
        <v/>
      </c>
      <c r="F29" s="37" t="str">
        <f t="shared" si="7"/>
        <v/>
      </c>
      <c r="G29" s="35" t="str">
        <f t="shared" si="8"/>
        <v/>
      </c>
      <c r="H29" s="35" t="str">
        <f t="shared" si="9"/>
        <v/>
      </c>
      <c r="I29" s="36" t="str">
        <f t="shared" si="10"/>
        <v/>
      </c>
      <c r="J29" s="38" t="str">
        <f t="shared" si="11"/>
        <v/>
      </c>
      <c r="K29" s="34"/>
      <c r="L29" s="35"/>
      <c r="M29" s="36"/>
      <c r="N29" s="37" t="str">
        <f t="shared" si="12"/>
        <v/>
      </c>
      <c r="O29" s="35"/>
      <c r="P29" s="35"/>
      <c r="Q29" s="36"/>
      <c r="R29" s="38" t="str">
        <f t="shared" si="13"/>
        <v/>
      </c>
      <c r="S29" s="34"/>
      <c r="T29" s="35"/>
      <c r="U29" s="36"/>
      <c r="V29" s="37" t="str">
        <f t="shared" si="14"/>
        <v/>
      </c>
      <c r="W29" s="34"/>
      <c r="X29" s="35"/>
      <c r="Y29" s="36"/>
      <c r="Z29" s="37" t="str">
        <f t="shared" si="15"/>
        <v/>
      </c>
      <c r="AA29" s="35"/>
      <c r="AB29" s="35"/>
      <c r="AC29" s="36"/>
      <c r="AD29" s="38" t="str">
        <f t="shared" si="16"/>
        <v/>
      </c>
      <c r="AE29" s="34"/>
      <c r="AF29" s="35"/>
      <c r="AG29" s="36"/>
      <c r="AH29" s="37" t="str">
        <f t="shared" si="17"/>
        <v/>
      </c>
      <c r="AI29" s="34"/>
      <c r="AJ29" s="35"/>
      <c r="AK29" s="36"/>
      <c r="AL29" s="37" t="str">
        <f t="shared" si="18"/>
        <v/>
      </c>
      <c r="AM29" s="34"/>
      <c r="AN29" s="35"/>
      <c r="AO29" s="36"/>
      <c r="AP29" s="37" t="str">
        <f t="shared" si="19"/>
        <v/>
      </c>
      <c r="AQ29" s="34"/>
      <c r="AR29" s="35"/>
      <c r="AS29" s="36"/>
      <c r="AT29" s="37" t="str">
        <f t="shared" si="20"/>
        <v/>
      </c>
      <c r="AU29" s="34"/>
      <c r="AV29" s="35"/>
      <c r="AW29" s="36"/>
      <c r="AX29" s="37" t="str">
        <f t="shared" si="21"/>
        <v/>
      </c>
      <c r="AY29" s="35"/>
      <c r="AZ29" s="35"/>
      <c r="BA29" s="36"/>
      <c r="BB29" s="38" t="str">
        <f t="shared" si="22"/>
        <v/>
      </c>
      <c r="BC29" s="39"/>
      <c r="BD29" s="40"/>
      <c r="BE29" s="41"/>
      <c r="BF29" s="42" t="str">
        <f t="shared" si="4"/>
        <v/>
      </c>
      <c r="BG29" s="32">
        <v>22</v>
      </c>
      <c r="BH29" s="33" t="str">
        <f t="shared" si="23"/>
        <v/>
      </c>
      <c r="BI29" s="43"/>
      <c r="BJ29" s="43"/>
      <c r="BK29" s="44"/>
      <c r="BL29" s="45" t="str">
        <f t="shared" si="24"/>
        <v/>
      </c>
      <c r="BM29" s="46"/>
      <c r="BN29" s="43"/>
      <c r="BO29" s="44"/>
      <c r="BP29" s="47" t="str">
        <f t="shared" si="25"/>
        <v/>
      </c>
      <c r="BQ29" s="34"/>
      <c r="BR29" s="35"/>
      <c r="BS29" s="36"/>
      <c r="BT29" s="37" t="str">
        <f t="shared" si="26"/>
        <v/>
      </c>
      <c r="BU29" s="46"/>
      <c r="BV29" s="43"/>
      <c r="BW29" s="44"/>
      <c r="BX29" s="47" t="str">
        <f t="shared" si="27"/>
        <v/>
      </c>
      <c r="BY29" s="46"/>
      <c r="BZ29" s="43"/>
      <c r="CA29" s="44"/>
      <c r="CB29" s="47" t="str">
        <f t="shared" si="28"/>
        <v/>
      </c>
      <c r="CC29" s="34"/>
      <c r="CD29" s="35"/>
      <c r="CE29" s="36"/>
      <c r="CF29" s="37" t="str">
        <f t="shared" si="29"/>
        <v/>
      </c>
    </row>
    <row r="30" spans="1:84" x14ac:dyDescent="0.25">
      <c r="A30" s="32">
        <v>23</v>
      </c>
      <c r="B30" s="33"/>
      <c r="C30" s="34" t="str">
        <f t="shared" si="30"/>
        <v/>
      </c>
      <c r="D30" s="35" t="str">
        <f t="shared" si="5"/>
        <v/>
      </c>
      <c r="E30" s="36" t="str">
        <f t="shared" si="6"/>
        <v/>
      </c>
      <c r="F30" s="37" t="str">
        <f t="shared" si="7"/>
        <v/>
      </c>
      <c r="G30" s="35" t="str">
        <f t="shared" si="8"/>
        <v/>
      </c>
      <c r="H30" s="35" t="str">
        <f t="shared" si="9"/>
        <v/>
      </c>
      <c r="I30" s="36" t="str">
        <f t="shared" si="10"/>
        <v/>
      </c>
      <c r="J30" s="38" t="str">
        <f t="shared" si="11"/>
        <v/>
      </c>
      <c r="K30" s="34"/>
      <c r="L30" s="35"/>
      <c r="M30" s="36"/>
      <c r="N30" s="37" t="str">
        <f t="shared" si="12"/>
        <v/>
      </c>
      <c r="O30" s="35"/>
      <c r="P30" s="35"/>
      <c r="Q30" s="36"/>
      <c r="R30" s="38" t="str">
        <f t="shared" si="13"/>
        <v/>
      </c>
      <c r="S30" s="34"/>
      <c r="T30" s="35"/>
      <c r="U30" s="36"/>
      <c r="V30" s="37" t="str">
        <f t="shared" si="14"/>
        <v/>
      </c>
      <c r="W30" s="34"/>
      <c r="X30" s="35"/>
      <c r="Y30" s="36"/>
      <c r="Z30" s="37" t="str">
        <f t="shared" si="15"/>
        <v/>
      </c>
      <c r="AA30" s="35"/>
      <c r="AB30" s="35"/>
      <c r="AC30" s="36"/>
      <c r="AD30" s="38" t="str">
        <f t="shared" si="16"/>
        <v/>
      </c>
      <c r="AE30" s="34"/>
      <c r="AF30" s="35"/>
      <c r="AG30" s="36"/>
      <c r="AH30" s="37" t="str">
        <f t="shared" si="17"/>
        <v/>
      </c>
      <c r="AI30" s="34"/>
      <c r="AJ30" s="35"/>
      <c r="AK30" s="36"/>
      <c r="AL30" s="37" t="str">
        <f t="shared" si="18"/>
        <v/>
      </c>
      <c r="AM30" s="34"/>
      <c r="AN30" s="35"/>
      <c r="AO30" s="36"/>
      <c r="AP30" s="37" t="str">
        <f t="shared" si="19"/>
        <v/>
      </c>
      <c r="AQ30" s="34"/>
      <c r="AR30" s="35"/>
      <c r="AS30" s="36"/>
      <c r="AT30" s="37" t="str">
        <f t="shared" si="20"/>
        <v/>
      </c>
      <c r="AU30" s="34"/>
      <c r="AV30" s="35"/>
      <c r="AW30" s="36"/>
      <c r="AX30" s="37" t="str">
        <f t="shared" si="21"/>
        <v/>
      </c>
      <c r="AY30" s="35"/>
      <c r="AZ30" s="35"/>
      <c r="BA30" s="36"/>
      <c r="BB30" s="38" t="str">
        <f t="shared" si="22"/>
        <v/>
      </c>
      <c r="BC30" s="39"/>
      <c r="BD30" s="40"/>
      <c r="BE30" s="41"/>
      <c r="BF30" s="42" t="str">
        <f t="shared" si="4"/>
        <v/>
      </c>
      <c r="BG30" s="32">
        <v>23</v>
      </c>
      <c r="BH30" s="33" t="str">
        <f t="shared" si="23"/>
        <v/>
      </c>
      <c r="BI30" s="43"/>
      <c r="BJ30" s="43"/>
      <c r="BK30" s="44"/>
      <c r="BL30" s="45" t="str">
        <f t="shared" si="24"/>
        <v/>
      </c>
      <c r="BM30" s="46"/>
      <c r="BN30" s="43"/>
      <c r="BO30" s="44"/>
      <c r="BP30" s="47" t="str">
        <f t="shared" si="25"/>
        <v/>
      </c>
      <c r="BQ30" s="34"/>
      <c r="BR30" s="35"/>
      <c r="BS30" s="36"/>
      <c r="BT30" s="37" t="str">
        <f t="shared" si="26"/>
        <v/>
      </c>
      <c r="BU30" s="46"/>
      <c r="BV30" s="43"/>
      <c r="BW30" s="44"/>
      <c r="BX30" s="47" t="str">
        <f t="shared" si="27"/>
        <v/>
      </c>
      <c r="BY30" s="46"/>
      <c r="BZ30" s="43"/>
      <c r="CA30" s="44"/>
      <c r="CB30" s="47" t="str">
        <f t="shared" si="28"/>
        <v/>
      </c>
      <c r="CC30" s="34"/>
      <c r="CD30" s="35"/>
      <c r="CE30" s="36"/>
      <c r="CF30" s="37" t="str">
        <f t="shared" si="29"/>
        <v/>
      </c>
    </row>
    <row r="31" spans="1:84" x14ac:dyDescent="0.25">
      <c r="A31" s="32">
        <v>24</v>
      </c>
      <c r="B31" s="33"/>
      <c r="C31" s="34" t="str">
        <f t="shared" si="30"/>
        <v/>
      </c>
      <c r="D31" s="35" t="str">
        <f t="shared" si="5"/>
        <v/>
      </c>
      <c r="E31" s="36" t="str">
        <f t="shared" si="6"/>
        <v/>
      </c>
      <c r="F31" s="37" t="str">
        <f t="shared" si="7"/>
        <v/>
      </c>
      <c r="G31" s="35" t="str">
        <f t="shared" si="8"/>
        <v/>
      </c>
      <c r="H31" s="35" t="str">
        <f t="shared" si="9"/>
        <v/>
      </c>
      <c r="I31" s="36" t="str">
        <f t="shared" si="10"/>
        <v/>
      </c>
      <c r="J31" s="38" t="str">
        <f t="shared" si="11"/>
        <v/>
      </c>
      <c r="K31" s="34"/>
      <c r="L31" s="35"/>
      <c r="M31" s="36"/>
      <c r="N31" s="37" t="str">
        <f t="shared" si="12"/>
        <v/>
      </c>
      <c r="O31" s="35"/>
      <c r="P31" s="35"/>
      <c r="Q31" s="36"/>
      <c r="R31" s="38" t="str">
        <f t="shared" si="13"/>
        <v/>
      </c>
      <c r="S31" s="34"/>
      <c r="T31" s="35"/>
      <c r="U31" s="36"/>
      <c r="V31" s="37" t="str">
        <f t="shared" si="14"/>
        <v/>
      </c>
      <c r="W31" s="34"/>
      <c r="X31" s="35"/>
      <c r="Y31" s="36"/>
      <c r="Z31" s="37" t="str">
        <f t="shared" si="15"/>
        <v/>
      </c>
      <c r="AA31" s="35"/>
      <c r="AB31" s="35"/>
      <c r="AC31" s="36"/>
      <c r="AD31" s="38" t="str">
        <f t="shared" si="16"/>
        <v/>
      </c>
      <c r="AE31" s="34"/>
      <c r="AF31" s="35"/>
      <c r="AG31" s="36"/>
      <c r="AH31" s="37" t="str">
        <f t="shared" si="17"/>
        <v/>
      </c>
      <c r="AI31" s="34"/>
      <c r="AJ31" s="35"/>
      <c r="AK31" s="36"/>
      <c r="AL31" s="37" t="str">
        <f t="shared" si="18"/>
        <v/>
      </c>
      <c r="AM31" s="34"/>
      <c r="AN31" s="35"/>
      <c r="AO31" s="36"/>
      <c r="AP31" s="37" t="str">
        <f t="shared" si="19"/>
        <v/>
      </c>
      <c r="AQ31" s="34"/>
      <c r="AR31" s="35"/>
      <c r="AS31" s="36"/>
      <c r="AT31" s="37" t="str">
        <f t="shared" si="20"/>
        <v/>
      </c>
      <c r="AU31" s="34"/>
      <c r="AV31" s="35"/>
      <c r="AW31" s="36"/>
      <c r="AX31" s="37" t="str">
        <f t="shared" si="21"/>
        <v/>
      </c>
      <c r="AY31" s="35"/>
      <c r="AZ31" s="35"/>
      <c r="BA31" s="36"/>
      <c r="BB31" s="38" t="str">
        <f t="shared" si="22"/>
        <v/>
      </c>
      <c r="BC31" s="39"/>
      <c r="BD31" s="40"/>
      <c r="BE31" s="41"/>
      <c r="BF31" s="42" t="str">
        <f t="shared" si="4"/>
        <v/>
      </c>
      <c r="BG31" s="32">
        <v>24</v>
      </c>
      <c r="BH31" s="33" t="str">
        <f t="shared" si="23"/>
        <v/>
      </c>
      <c r="BI31" s="43"/>
      <c r="BJ31" s="43"/>
      <c r="BK31" s="44"/>
      <c r="BL31" s="45" t="str">
        <f t="shared" si="24"/>
        <v/>
      </c>
      <c r="BM31" s="46"/>
      <c r="BN31" s="43"/>
      <c r="BO31" s="44"/>
      <c r="BP31" s="47" t="str">
        <f t="shared" si="25"/>
        <v/>
      </c>
      <c r="BQ31" s="34"/>
      <c r="BR31" s="35"/>
      <c r="BS31" s="36"/>
      <c r="BT31" s="37" t="str">
        <f t="shared" si="26"/>
        <v/>
      </c>
      <c r="BU31" s="46"/>
      <c r="BV31" s="43"/>
      <c r="BW31" s="44"/>
      <c r="BX31" s="47" t="str">
        <f t="shared" si="27"/>
        <v/>
      </c>
      <c r="BY31" s="46"/>
      <c r="BZ31" s="43"/>
      <c r="CA31" s="44"/>
      <c r="CB31" s="47" t="str">
        <f t="shared" si="28"/>
        <v/>
      </c>
      <c r="CC31" s="34"/>
      <c r="CD31" s="35"/>
      <c r="CE31" s="36"/>
      <c r="CF31" s="37" t="str">
        <f t="shared" si="29"/>
        <v/>
      </c>
    </row>
    <row r="32" spans="1:84" x14ac:dyDescent="0.25">
      <c r="A32" s="32">
        <v>25</v>
      </c>
      <c r="B32" s="33"/>
      <c r="C32" s="34" t="str">
        <f t="shared" si="30"/>
        <v/>
      </c>
      <c r="D32" s="35" t="str">
        <f t="shared" si="5"/>
        <v/>
      </c>
      <c r="E32" s="36" t="str">
        <f t="shared" si="6"/>
        <v/>
      </c>
      <c r="F32" s="37" t="str">
        <f t="shared" si="7"/>
        <v/>
      </c>
      <c r="G32" s="35" t="str">
        <f t="shared" si="8"/>
        <v/>
      </c>
      <c r="H32" s="35" t="str">
        <f t="shared" si="9"/>
        <v/>
      </c>
      <c r="I32" s="36" t="str">
        <f t="shared" si="10"/>
        <v/>
      </c>
      <c r="J32" s="38" t="str">
        <f t="shared" si="11"/>
        <v/>
      </c>
      <c r="K32" s="34"/>
      <c r="L32" s="35"/>
      <c r="M32" s="36"/>
      <c r="N32" s="37" t="str">
        <f t="shared" si="12"/>
        <v/>
      </c>
      <c r="O32" s="35"/>
      <c r="P32" s="35"/>
      <c r="Q32" s="36"/>
      <c r="R32" s="38" t="str">
        <f t="shared" si="13"/>
        <v/>
      </c>
      <c r="S32" s="34"/>
      <c r="T32" s="35"/>
      <c r="U32" s="36"/>
      <c r="V32" s="37" t="str">
        <f t="shared" si="14"/>
        <v/>
      </c>
      <c r="W32" s="34"/>
      <c r="X32" s="35"/>
      <c r="Y32" s="36"/>
      <c r="Z32" s="37" t="str">
        <f t="shared" si="15"/>
        <v/>
      </c>
      <c r="AA32" s="35"/>
      <c r="AB32" s="35"/>
      <c r="AC32" s="36"/>
      <c r="AD32" s="38" t="str">
        <f t="shared" si="16"/>
        <v/>
      </c>
      <c r="AE32" s="34"/>
      <c r="AF32" s="35"/>
      <c r="AG32" s="36"/>
      <c r="AH32" s="37" t="str">
        <f t="shared" si="17"/>
        <v/>
      </c>
      <c r="AI32" s="34"/>
      <c r="AJ32" s="35"/>
      <c r="AK32" s="36"/>
      <c r="AL32" s="37" t="str">
        <f t="shared" si="18"/>
        <v/>
      </c>
      <c r="AM32" s="34"/>
      <c r="AN32" s="35"/>
      <c r="AO32" s="36"/>
      <c r="AP32" s="37" t="str">
        <f t="shared" si="19"/>
        <v/>
      </c>
      <c r="AQ32" s="34"/>
      <c r="AR32" s="35"/>
      <c r="AS32" s="36"/>
      <c r="AT32" s="37" t="str">
        <f t="shared" si="20"/>
        <v/>
      </c>
      <c r="AU32" s="34"/>
      <c r="AV32" s="35"/>
      <c r="AW32" s="36"/>
      <c r="AX32" s="37" t="str">
        <f t="shared" si="21"/>
        <v/>
      </c>
      <c r="AY32" s="35"/>
      <c r="AZ32" s="35"/>
      <c r="BA32" s="36"/>
      <c r="BB32" s="38" t="str">
        <f t="shared" si="22"/>
        <v/>
      </c>
      <c r="BC32" s="39"/>
      <c r="BD32" s="40"/>
      <c r="BE32" s="41"/>
      <c r="BF32" s="42" t="str">
        <f t="shared" si="4"/>
        <v/>
      </c>
      <c r="BG32" s="32">
        <v>25</v>
      </c>
      <c r="BH32" s="33" t="str">
        <f t="shared" si="23"/>
        <v/>
      </c>
      <c r="BI32" s="43"/>
      <c r="BJ32" s="43"/>
      <c r="BK32" s="44"/>
      <c r="BL32" s="45" t="str">
        <f t="shared" si="24"/>
        <v/>
      </c>
      <c r="BM32" s="46"/>
      <c r="BN32" s="43"/>
      <c r="BO32" s="44"/>
      <c r="BP32" s="47" t="str">
        <f t="shared" si="25"/>
        <v/>
      </c>
      <c r="BQ32" s="34"/>
      <c r="BR32" s="35"/>
      <c r="BS32" s="36"/>
      <c r="BT32" s="37" t="str">
        <f t="shared" si="26"/>
        <v/>
      </c>
      <c r="BU32" s="46"/>
      <c r="BV32" s="43"/>
      <c r="BW32" s="44"/>
      <c r="BX32" s="47" t="str">
        <f t="shared" si="27"/>
        <v/>
      </c>
      <c r="BY32" s="46"/>
      <c r="BZ32" s="43"/>
      <c r="CA32" s="44"/>
      <c r="CB32" s="47" t="str">
        <f t="shared" si="28"/>
        <v/>
      </c>
      <c r="CC32" s="34"/>
      <c r="CD32" s="35"/>
      <c r="CE32" s="36"/>
      <c r="CF32" s="37" t="str">
        <f t="shared" si="29"/>
        <v/>
      </c>
    </row>
    <row r="33" spans="1:84" x14ac:dyDescent="0.25">
      <c r="A33" s="32">
        <v>26</v>
      </c>
      <c r="B33" s="33"/>
      <c r="C33" s="34" t="str">
        <f t="shared" si="30"/>
        <v/>
      </c>
      <c r="D33" s="35" t="str">
        <f t="shared" si="5"/>
        <v/>
      </c>
      <c r="E33" s="36" t="str">
        <f t="shared" si="6"/>
        <v/>
      </c>
      <c r="F33" s="37" t="str">
        <f t="shared" si="7"/>
        <v/>
      </c>
      <c r="G33" s="35" t="str">
        <f t="shared" si="8"/>
        <v/>
      </c>
      <c r="H33" s="35" t="str">
        <f t="shared" si="9"/>
        <v/>
      </c>
      <c r="I33" s="36" t="str">
        <f t="shared" si="10"/>
        <v/>
      </c>
      <c r="J33" s="38" t="str">
        <f t="shared" si="11"/>
        <v/>
      </c>
      <c r="K33" s="34"/>
      <c r="L33" s="35"/>
      <c r="M33" s="36"/>
      <c r="N33" s="37" t="str">
        <f t="shared" si="12"/>
        <v/>
      </c>
      <c r="O33" s="35"/>
      <c r="P33" s="35"/>
      <c r="Q33" s="36"/>
      <c r="R33" s="38" t="str">
        <f t="shared" si="13"/>
        <v/>
      </c>
      <c r="S33" s="34"/>
      <c r="T33" s="35"/>
      <c r="U33" s="36"/>
      <c r="V33" s="37" t="str">
        <f t="shared" si="14"/>
        <v/>
      </c>
      <c r="W33" s="34"/>
      <c r="X33" s="35"/>
      <c r="Y33" s="36"/>
      <c r="Z33" s="37" t="str">
        <f t="shared" si="15"/>
        <v/>
      </c>
      <c r="AA33" s="35"/>
      <c r="AB33" s="35"/>
      <c r="AC33" s="36"/>
      <c r="AD33" s="38" t="str">
        <f t="shared" si="16"/>
        <v/>
      </c>
      <c r="AE33" s="34"/>
      <c r="AF33" s="35"/>
      <c r="AG33" s="36"/>
      <c r="AH33" s="37" t="str">
        <f t="shared" si="17"/>
        <v/>
      </c>
      <c r="AI33" s="34"/>
      <c r="AJ33" s="35"/>
      <c r="AK33" s="36"/>
      <c r="AL33" s="37" t="str">
        <f t="shared" si="18"/>
        <v/>
      </c>
      <c r="AM33" s="34"/>
      <c r="AN33" s="35"/>
      <c r="AO33" s="36"/>
      <c r="AP33" s="37" t="str">
        <f t="shared" si="19"/>
        <v/>
      </c>
      <c r="AQ33" s="34"/>
      <c r="AR33" s="35"/>
      <c r="AS33" s="36"/>
      <c r="AT33" s="37" t="str">
        <f t="shared" si="20"/>
        <v/>
      </c>
      <c r="AU33" s="34"/>
      <c r="AV33" s="35"/>
      <c r="AW33" s="36"/>
      <c r="AX33" s="37" t="str">
        <f t="shared" si="21"/>
        <v/>
      </c>
      <c r="AY33" s="35"/>
      <c r="AZ33" s="35"/>
      <c r="BA33" s="36"/>
      <c r="BB33" s="38" t="str">
        <f t="shared" si="22"/>
        <v/>
      </c>
      <c r="BC33" s="39"/>
      <c r="BD33" s="40"/>
      <c r="BE33" s="41"/>
      <c r="BF33" s="42" t="str">
        <f t="shared" si="4"/>
        <v/>
      </c>
      <c r="BG33" s="32">
        <v>26</v>
      </c>
      <c r="BH33" s="33" t="str">
        <f t="shared" si="23"/>
        <v/>
      </c>
      <c r="BI33" s="43"/>
      <c r="BJ33" s="43"/>
      <c r="BK33" s="44"/>
      <c r="BL33" s="45" t="str">
        <f t="shared" si="24"/>
        <v/>
      </c>
      <c r="BM33" s="46"/>
      <c r="BN33" s="43"/>
      <c r="BO33" s="44"/>
      <c r="BP33" s="47" t="str">
        <f t="shared" si="25"/>
        <v/>
      </c>
      <c r="BQ33" s="34"/>
      <c r="BR33" s="35"/>
      <c r="BS33" s="36"/>
      <c r="BT33" s="37" t="str">
        <f t="shared" si="26"/>
        <v/>
      </c>
      <c r="BU33" s="46"/>
      <c r="BV33" s="43"/>
      <c r="BW33" s="44"/>
      <c r="BX33" s="47" t="str">
        <f t="shared" si="27"/>
        <v/>
      </c>
      <c r="BY33" s="46"/>
      <c r="BZ33" s="43"/>
      <c r="CA33" s="44"/>
      <c r="CB33" s="47" t="str">
        <f t="shared" si="28"/>
        <v/>
      </c>
      <c r="CC33" s="34"/>
      <c r="CD33" s="35"/>
      <c r="CE33" s="36"/>
      <c r="CF33" s="37" t="str">
        <f t="shared" si="29"/>
        <v/>
      </c>
    </row>
    <row r="34" spans="1:84" x14ac:dyDescent="0.25">
      <c r="A34" s="32">
        <v>27</v>
      </c>
      <c r="B34" s="33"/>
      <c r="C34" s="34" t="str">
        <f t="shared" si="30"/>
        <v/>
      </c>
      <c r="D34" s="35" t="str">
        <f t="shared" si="5"/>
        <v/>
      </c>
      <c r="E34" s="36" t="str">
        <f t="shared" si="6"/>
        <v/>
      </c>
      <c r="F34" s="37" t="str">
        <f t="shared" si="7"/>
        <v/>
      </c>
      <c r="G34" s="35" t="str">
        <f t="shared" si="8"/>
        <v/>
      </c>
      <c r="H34" s="35" t="str">
        <f t="shared" si="9"/>
        <v/>
      </c>
      <c r="I34" s="36" t="str">
        <f t="shared" si="10"/>
        <v/>
      </c>
      <c r="J34" s="38" t="str">
        <f t="shared" si="11"/>
        <v/>
      </c>
      <c r="K34" s="34"/>
      <c r="L34" s="35"/>
      <c r="M34" s="36"/>
      <c r="N34" s="37" t="str">
        <f t="shared" si="12"/>
        <v/>
      </c>
      <c r="O34" s="35"/>
      <c r="P34" s="35"/>
      <c r="Q34" s="36"/>
      <c r="R34" s="38" t="str">
        <f t="shared" si="13"/>
        <v/>
      </c>
      <c r="S34" s="34"/>
      <c r="T34" s="35"/>
      <c r="U34" s="36"/>
      <c r="V34" s="37" t="str">
        <f t="shared" si="14"/>
        <v/>
      </c>
      <c r="W34" s="34"/>
      <c r="X34" s="35"/>
      <c r="Y34" s="36"/>
      <c r="Z34" s="37" t="str">
        <f t="shared" si="15"/>
        <v/>
      </c>
      <c r="AA34" s="35"/>
      <c r="AB34" s="35"/>
      <c r="AC34" s="36"/>
      <c r="AD34" s="38" t="str">
        <f t="shared" si="16"/>
        <v/>
      </c>
      <c r="AE34" s="34"/>
      <c r="AF34" s="35"/>
      <c r="AG34" s="36"/>
      <c r="AH34" s="37" t="str">
        <f t="shared" si="17"/>
        <v/>
      </c>
      <c r="AI34" s="34"/>
      <c r="AJ34" s="35"/>
      <c r="AK34" s="36"/>
      <c r="AL34" s="37" t="str">
        <f t="shared" si="18"/>
        <v/>
      </c>
      <c r="AM34" s="34"/>
      <c r="AN34" s="35"/>
      <c r="AO34" s="36"/>
      <c r="AP34" s="37" t="str">
        <f t="shared" si="19"/>
        <v/>
      </c>
      <c r="AQ34" s="34"/>
      <c r="AR34" s="35"/>
      <c r="AS34" s="36"/>
      <c r="AT34" s="37" t="str">
        <f t="shared" si="20"/>
        <v/>
      </c>
      <c r="AU34" s="34"/>
      <c r="AV34" s="35"/>
      <c r="AW34" s="36"/>
      <c r="AX34" s="37" t="str">
        <f t="shared" si="21"/>
        <v/>
      </c>
      <c r="AY34" s="35"/>
      <c r="AZ34" s="35"/>
      <c r="BA34" s="36"/>
      <c r="BB34" s="38" t="str">
        <f t="shared" si="22"/>
        <v/>
      </c>
      <c r="BC34" s="39"/>
      <c r="BD34" s="40"/>
      <c r="BE34" s="41"/>
      <c r="BF34" s="42" t="str">
        <f t="shared" si="4"/>
        <v/>
      </c>
      <c r="BG34" s="32">
        <v>27</v>
      </c>
      <c r="BH34" s="33" t="str">
        <f t="shared" si="23"/>
        <v/>
      </c>
      <c r="BI34" s="43"/>
      <c r="BJ34" s="43"/>
      <c r="BK34" s="44"/>
      <c r="BL34" s="45" t="str">
        <f t="shared" si="24"/>
        <v/>
      </c>
      <c r="BM34" s="46"/>
      <c r="BN34" s="43"/>
      <c r="BO34" s="44"/>
      <c r="BP34" s="47" t="str">
        <f t="shared" si="25"/>
        <v/>
      </c>
      <c r="BQ34" s="34"/>
      <c r="BR34" s="35"/>
      <c r="BS34" s="36"/>
      <c r="BT34" s="37" t="str">
        <f t="shared" si="26"/>
        <v/>
      </c>
      <c r="BU34" s="46"/>
      <c r="BV34" s="43"/>
      <c r="BW34" s="44"/>
      <c r="BX34" s="47" t="str">
        <f t="shared" si="27"/>
        <v/>
      </c>
      <c r="BY34" s="46"/>
      <c r="BZ34" s="43"/>
      <c r="CA34" s="44"/>
      <c r="CB34" s="47" t="str">
        <f t="shared" si="28"/>
        <v/>
      </c>
      <c r="CC34" s="34"/>
      <c r="CD34" s="35"/>
      <c r="CE34" s="36"/>
      <c r="CF34" s="37" t="str">
        <f t="shared" si="29"/>
        <v/>
      </c>
    </row>
    <row r="35" spans="1:84" x14ac:dyDescent="0.25">
      <c r="A35" s="32">
        <v>28</v>
      </c>
      <c r="B35" s="33"/>
      <c r="C35" s="34" t="str">
        <f t="shared" si="30"/>
        <v/>
      </c>
      <c r="D35" s="35" t="str">
        <f t="shared" si="5"/>
        <v/>
      </c>
      <c r="E35" s="36" t="str">
        <f t="shared" si="6"/>
        <v/>
      </c>
      <c r="F35" s="37" t="str">
        <f t="shared" si="7"/>
        <v/>
      </c>
      <c r="G35" s="35" t="str">
        <f t="shared" si="8"/>
        <v/>
      </c>
      <c r="H35" s="35" t="str">
        <f t="shared" si="9"/>
        <v/>
      </c>
      <c r="I35" s="36" t="str">
        <f t="shared" si="10"/>
        <v/>
      </c>
      <c r="J35" s="38" t="str">
        <f t="shared" si="11"/>
        <v/>
      </c>
      <c r="K35" s="34"/>
      <c r="L35" s="35"/>
      <c r="M35" s="36"/>
      <c r="N35" s="37" t="str">
        <f t="shared" si="12"/>
        <v/>
      </c>
      <c r="O35" s="35"/>
      <c r="P35" s="35"/>
      <c r="Q35" s="36"/>
      <c r="R35" s="38" t="str">
        <f t="shared" si="13"/>
        <v/>
      </c>
      <c r="S35" s="34"/>
      <c r="T35" s="35"/>
      <c r="U35" s="36"/>
      <c r="V35" s="37" t="str">
        <f t="shared" si="14"/>
        <v/>
      </c>
      <c r="W35" s="34"/>
      <c r="X35" s="35"/>
      <c r="Y35" s="36"/>
      <c r="Z35" s="37" t="str">
        <f t="shared" si="15"/>
        <v/>
      </c>
      <c r="AA35" s="35"/>
      <c r="AB35" s="35"/>
      <c r="AC35" s="36"/>
      <c r="AD35" s="38" t="str">
        <f t="shared" si="16"/>
        <v/>
      </c>
      <c r="AE35" s="34"/>
      <c r="AF35" s="35"/>
      <c r="AG35" s="36"/>
      <c r="AH35" s="37" t="str">
        <f t="shared" si="17"/>
        <v/>
      </c>
      <c r="AI35" s="34"/>
      <c r="AJ35" s="35"/>
      <c r="AK35" s="36"/>
      <c r="AL35" s="37" t="str">
        <f t="shared" si="18"/>
        <v/>
      </c>
      <c r="AM35" s="34"/>
      <c r="AN35" s="35"/>
      <c r="AO35" s="36"/>
      <c r="AP35" s="37" t="str">
        <f t="shared" si="19"/>
        <v/>
      </c>
      <c r="AQ35" s="34"/>
      <c r="AR35" s="35"/>
      <c r="AS35" s="36"/>
      <c r="AT35" s="37" t="str">
        <f t="shared" si="20"/>
        <v/>
      </c>
      <c r="AU35" s="34"/>
      <c r="AV35" s="35"/>
      <c r="AW35" s="36"/>
      <c r="AX35" s="37" t="str">
        <f t="shared" si="21"/>
        <v/>
      </c>
      <c r="AY35" s="35"/>
      <c r="AZ35" s="35"/>
      <c r="BA35" s="36"/>
      <c r="BB35" s="38" t="str">
        <f t="shared" si="22"/>
        <v/>
      </c>
      <c r="BC35" s="39"/>
      <c r="BD35" s="40"/>
      <c r="BE35" s="41"/>
      <c r="BF35" s="42" t="str">
        <f t="shared" si="4"/>
        <v/>
      </c>
      <c r="BG35" s="32">
        <v>28</v>
      </c>
      <c r="BH35" s="33" t="str">
        <f t="shared" si="23"/>
        <v/>
      </c>
      <c r="BI35" s="43"/>
      <c r="BJ35" s="43"/>
      <c r="BK35" s="44"/>
      <c r="BL35" s="45" t="str">
        <f t="shared" si="24"/>
        <v/>
      </c>
      <c r="BM35" s="46"/>
      <c r="BN35" s="43"/>
      <c r="BO35" s="44"/>
      <c r="BP35" s="47" t="str">
        <f t="shared" si="25"/>
        <v/>
      </c>
      <c r="BQ35" s="34"/>
      <c r="BR35" s="35"/>
      <c r="BS35" s="36"/>
      <c r="BT35" s="37" t="str">
        <f t="shared" si="26"/>
        <v/>
      </c>
      <c r="BU35" s="46"/>
      <c r="BV35" s="43"/>
      <c r="BW35" s="44"/>
      <c r="BX35" s="47" t="str">
        <f t="shared" si="27"/>
        <v/>
      </c>
      <c r="BY35" s="46"/>
      <c r="BZ35" s="43"/>
      <c r="CA35" s="44"/>
      <c r="CB35" s="47" t="str">
        <f t="shared" si="28"/>
        <v/>
      </c>
      <c r="CC35" s="34"/>
      <c r="CD35" s="35"/>
      <c r="CE35" s="36"/>
      <c r="CF35" s="37" t="str">
        <f t="shared" si="29"/>
        <v/>
      </c>
    </row>
    <row r="36" spans="1:84" x14ac:dyDescent="0.25">
      <c r="A36" s="32">
        <v>29</v>
      </c>
      <c r="B36" s="33"/>
      <c r="C36" s="34" t="str">
        <f t="shared" si="30"/>
        <v/>
      </c>
      <c r="D36" s="35" t="str">
        <f t="shared" si="5"/>
        <v/>
      </c>
      <c r="E36" s="36" t="str">
        <f t="shared" si="6"/>
        <v/>
      </c>
      <c r="F36" s="37" t="str">
        <f t="shared" si="7"/>
        <v/>
      </c>
      <c r="G36" s="35" t="str">
        <f t="shared" si="8"/>
        <v/>
      </c>
      <c r="H36" s="35" t="str">
        <f t="shared" si="9"/>
        <v/>
      </c>
      <c r="I36" s="36" t="str">
        <f t="shared" si="10"/>
        <v/>
      </c>
      <c r="J36" s="38" t="str">
        <f t="shared" si="11"/>
        <v/>
      </c>
      <c r="K36" s="34"/>
      <c r="L36" s="35"/>
      <c r="M36" s="36"/>
      <c r="N36" s="37" t="str">
        <f t="shared" si="12"/>
        <v/>
      </c>
      <c r="O36" s="35"/>
      <c r="P36" s="35"/>
      <c r="Q36" s="36"/>
      <c r="R36" s="38" t="str">
        <f t="shared" si="13"/>
        <v/>
      </c>
      <c r="S36" s="34"/>
      <c r="T36" s="35"/>
      <c r="U36" s="36"/>
      <c r="V36" s="37" t="str">
        <f t="shared" si="14"/>
        <v/>
      </c>
      <c r="W36" s="34"/>
      <c r="X36" s="35"/>
      <c r="Y36" s="36"/>
      <c r="Z36" s="37" t="str">
        <f t="shared" si="15"/>
        <v/>
      </c>
      <c r="AA36" s="35"/>
      <c r="AB36" s="35"/>
      <c r="AC36" s="36"/>
      <c r="AD36" s="38" t="str">
        <f t="shared" si="16"/>
        <v/>
      </c>
      <c r="AE36" s="34"/>
      <c r="AF36" s="35"/>
      <c r="AG36" s="36"/>
      <c r="AH36" s="37" t="str">
        <f t="shared" si="17"/>
        <v/>
      </c>
      <c r="AI36" s="34"/>
      <c r="AJ36" s="35"/>
      <c r="AK36" s="36"/>
      <c r="AL36" s="37" t="str">
        <f t="shared" si="18"/>
        <v/>
      </c>
      <c r="AM36" s="34"/>
      <c r="AN36" s="35"/>
      <c r="AO36" s="36"/>
      <c r="AP36" s="37" t="str">
        <f t="shared" si="19"/>
        <v/>
      </c>
      <c r="AQ36" s="34"/>
      <c r="AR36" s="35"/>
      <c r="AS36" s="36"/>
      <c r="AT36" s="37" t="str">
        <f t="shared" si="20"/>
        <v/>
      </c>
      <c r="AU36" s="34"/>
      <c r="AV36" s="35"/>
      <c r="AW36" s="36"/>
      <c r="AX36" s="37" t="str">
        <f t="shared" si="21"/>
        <v/>
      </c>
      <c r="AY36" s="35"/>
      <c r="AZ36" s="35"/>
      <c r="BA36" s="36"/>
      <c r="BB36" s="38" t="str">
        <f t="shared" si="22"/>
        <v/>
      </c>
      <c r="BC36" s="39"/>
      <c r="BD36" s="40"/>
      <c r="BE36" s="41"/>
      <c r="BF36" s="42" t="str">
        <f t="shared" si="4"/>
        <v/>
      </c>
      <c r="BG36" s="32">
        <v>29</v>
      </c>
      <c r="BH36" s="33" t="str">
        <f t="shared" si="23"/>
        <v/>
      </c>
      <c r="BI36" s="43"/>
      <c r="BJ36" s="43"/>
      <c r="BK36" s="44"/>
      <c r="BL36" s="45" t="str">
        <f t="shared" si="24"/>
        <v/>
      </c>
      <c r="BM36" s="46"/>
      <c r="BN36" s="43"/>
      <c r="BO36" s="44"/>
      <c r="BP36" s="47" t="str">
        <f t="shared" si="25"/>
        <v/>
      </c>
      <c r="BQ36" s="34"/>
      <c r="BR36" s="35"/>
      <c r="BS36" s="36"/>
      <c r="BT36" s="37" t="str">
        <f t="shared" si="26"/>
        <v/>
      </c>
      <c r="BU36" s="46"/>
      <c r="BV36" s="43"/>
      <c r="BW36" s="44"/>
      <c r="BX36" s="47" t="str">
        <f t="shared" si="27"/>
        <v/>
      </c>
      <c r="BY36" s="46"/>
      <c r="BZ36" s="43"/>
      <c r="CA36" s="44"/>
      <c r="CB36" s="47" t="str">
        <f t="shared" si="28"/>
        <v/>
      </c>
      <c r="CC36" s="34"/>
      <c r="CD36" s="35"/>
      <c r="CE36" s="36"/>
      <c r="CF36" s="37" t="str">
        <f t="shared" si="29"/>
        <v/>
      </c>
    </row>
    <row r="37" spans="1:84" x14ac:dyDescent="0.25">
      <c r="A37" s="49">
        <v>30</v>
      </c>
      <c r="B37" s="50"/>
      <c r="C37" s="51" t="str">
        <f t="shared" si="30"/>
        <v/>
      </c>
      <c r="D37" s="52" t="str">
        <f t="shared" si="5"/>
        <v/>
      </c>
      <c r="E37" s="53" t="str">
        <f t="shared" si="6"/>
        <v/>
      </c>
      <c r="F37" s="54" t="str">
        <f t="shared" si="7"/>
        <v/>
      </c>
      <c r="G37" s="52" t="str">
        <f t="shared" si="8"/>
        <v/>
      </c>
      <c r="H37" s="52" t="str">
        <f t="shared" si="9"/>
        <v/>
      </c>
      <c r="I37" s="53" t="str">
        <f t="shared" si="10"/>
        <v/>
      </c>
      <c r="J37" s="55" t="str">
        <f t="shared" si="11"/>
        <v/>
      </c>
      <c r="K37" s="51"/>
      <c r="L37" s="52"/>
      <c r="M37" s="53"/>
      <c r="N37" s="54" t="str">
        <f t="shared" si="12"/>
        <v/>
      </c>
      <c r="O37" s="52"/>
      <c r="P37" s="52"/>
      <c r="Q37" s="53"/>
      <c r="R37" s="55" t="str">
        <f t="shared" si="13"/>
        <v/>
      </c>
      <c r="S37" s="51"/>
      <c r="T37" s="52"/>
      <c r="U37" s="53"/>
      <c r="V37" s="54" t="str">
        <f t="shared" si="14"/>
        <v/>
      </c>
      <c r="W37" s="51"/>
      <c r="X37" s="52"/>
      <c r="Y37" s="53"/>
      <c r="Z37" s="54" t="str">
        <f t="shared" si="15"/>
        <v/>
      </c>
      <c r="AA37" s="52"/>
      <c r="AB37" s="52"/>
      <c r="AC37" s="53"/>
      <c r="AD37" s="55" t="str">
        <f t="shared" si="16"/>
        <v/>
      </c>
      <c r="AE37" s="51"/>
      <c r="AF37" s="52"/>
      <c r="AG37" s="53"/>
      <c r="AH37" s="54" t="str">
        <f t="shared" si="17"/>
        <v/>
      </c>
      <c r="AI37" s="51"/>
      <c r="AJ37" s="52"/>
      <c r="AK37" s="53"/>
      <c r="AL37" s="54" t="str">
        <f t="shared" si="18"/>
        <v/>
      </c>
      <c r="AM37" s="51"/>
      <c r="AN37" s="52"/>
      <c r="AO37" s="53"/>
      <c r="AP37" s="54" t="str">
        <f t="shared" si="19"/>
        <v/>
      </c>
      <c r="AQ37" s="51"/>
      <c r="AR37" s="52"/>
      <c r="AS37" s="53"/>
      <c r="AT37" s="54" t="str">
        <f t="shared" si="20"/>
        <v/>
      </c>
      <c r="AU37" s="51"/>
      <c r="AV37" s="52"/>
      <c r="AW37" s="53"/>
      <c r="AX37" s="54" t="str">
        <f t="shared" si="21"/>
        <v/>
      </c>
      <c r="AY37" s="52"/>
      <c r="AZ37" s="52"/>
      <c r="BA37" s="53"/>
      <c r="BB37" s="55" t="str">
        <f t="shared" si="22"/>
        <v/>
      </c>
      <c r="BC37" s="56"/>
      <c r="BD37" s="57"/>
      <c r="BE37" s="58"/>
      <c r="BF37" s="59" t="str">
        <f t="shared" si="4"/>
        <v/>
      </c>
      <c r="BG37" s="49">
        <v>30</v>
      </c>
      <c r="BH37" s="50" t="str">
        <f t="shared" si="23"/>
        <v/>
      </c>
      <c r="BI37" s="60"/>
      <c r="BJ37" s="60"/>
      <c r="BK37" s="61"/>
      <c r="BL37" s="62" t="str">
        <f t="shared" si="24"/>
        <v/>
      </c>
      <c r="BM37" s="63"/>
      <c r="BN37" s="60"/>
      <c r="BO37" s="61"/>
      <c r="BP37" s="64" t="str">
        <f t="shared" si="25"/>
        <v/>
      </c>
      <c r="BQ37" s="51"/>
      <c r="BR37" s="52"/>
      <c r="BS37" s="53"/>
      <c r="BT37" s="54" t="str">
        <f t="shared" si="26"/>
        <v/>
      </c>
      <c r="BU37" s="63"/>
      <c r="BV37" s="60"/>
      <c r="BW37" s="61"/>
      <c r="BX37" s="64" t="str">
        <f t="shared" si="27"/>
        <v/>
      </c>
      <c r="BY37" s="63"/>
      <c r="BZ37" s="60"/>
      <c r="CA37" s="61"/>
      <c r="CB37" s="64" t="str">
        <f t="shared" si="28"/>
        <v/>
      </c>
      <c r="CC37" s="51"/>
      <c r="CD37" s="52"/>
      <c r="CE37" s="53"/>
      <c r="CF37" s="54" t="str">
        <f t="shared" si="29"/>
        <v/>
      </c>
    </row>
    <row r="38" spans="1:84" x14ac:dyDescent="0.25">
      <c r="A38" s="120" t="s">
        <v>9</v>
      </c>
      <c r="B38" s="121"/>
      <c r="C38" s="65" t="str">
        <f t="shared" ref="C38:F38" si="31">IF(SUM(C8:C37)=0,"",AVERAGE(C8:C37))</f>
        <v/>
      </c>
      <c r="D38" s="66" t="str">
        <f t="shared" ref="D38" si="32">IF(SUM(D8:D37)=0,"",AVERAGE(D8:D37))</f>
        <v/>
      </c>
      <c r="E38" s="67" t="str">
        <f t="shared" si="31"/>
        <v/>
      </c>
      <c r="F38" s="68" t="str">
        <f t="shared" si="31"/>
        <v/>
      </c>
      <c r="G38" s="65" t="str">
        <f t="shared" ref="G38:N38" si="33">IF(SUM(G8:G37)=0,"",AVERAGE(G8:G37))</f>
        <v/>
      </c>
      <c r="H38" s="66" t="str">
        <f t="shared" si="33"/>
        <v/>
      </c>
      <c r="I38" s="67" t="str">
        <f t="shared" si="33"/>
        <v/>
      </c>
      <c r="J38" s="68" t="str">
        <f t="shared" si="33"/>
        <v/>
      </c>
      <c r="K38" s="65" t="str">
        <f t="shared" si="33"/>
        <v/>
      </c>
      <c r="L38" s="66" t="str">
        <f t="shared" si="33"/>
        <v/>
      </c>
      <c r="M38" s="67" t="str">
        <f t="shared" si="33"/>
        <v/>
      </c>
      <c r="N38" s="68" t="str">
        <f t="shared" si="33"/>
        <v/>
      </c>
      <c r="O38" s="66" t="str">
        <f t="shared" ref="O38:BF38" si="34">IF(SUM(O8:O37)=0,"",AVERAGE(O8:O37))</f>
        <v/>
      </c>
      <c r="P38" s="66" t="str">
        <f t="shared" si="34"/>
        <v/>
      </c>
      <c r="Q38" s="67" t="str">
        <f t="shared" si="34"/>
        <v/>
      </c>
      <c r="R38" s="69" t="str">
        <f t="shared" si="34"/>
        <v/>
      </c>
      <c r="S38" s="65" t="str">
        <f t="shared" si="34"/>
        <v/>
      </c>
      <c r="T38" s="66" t="str">
        <f t="shared" si="34"/>
        <v/>
      </c>
      <c r="U38" s="67" t="str">
        <f t="shared" si="34"/>
        <v/>
      </c>
      <c r="V38" s="68" t="str">
        <f t="shared" si="34"/>
        <v/>
      </c>
      <c r="W38" s="65" t="str">
        <f t="shared" si="34"/>
        <v/>
      </c>
      <c r="X38" s="66" t="str">
        <f t="shared" si="34"/>
        <v/>
      </c>
      <c r="Y38" s="67" t="str">
        <f t="shared" si="34"/>
        <v/>
      </c>
      <c r="Z38" s="68" t="str">
        <f t="shared" si="34"/>
        <v/>
      </c>
      <c r="AA38" s="66" t="str">
        <f t="shared" si="34"/>
        <v/>
      </c>
      <c r="AB38" s="66" t="str">
        <f t="shared" si="34"/>
        <v/>
      </c>
      <c r="AC38" s="67" t="str">
        <f t="shared" si="34"/>
        <v/>
      </c>
      <c r="AD38" s="69" t="str">
        <f t="shared" si="34"/>
        <v/>
      </c>
      <c r="AE38" s="65" t="str">
        <f t="shared" si="34"/>
        <v/>
      </c>
      <c r="AF38" s="66" t="str">
        <f t="shared" si="34"/>
        <v/>
      </c>
      <c r="AG38" s="67" t="str">
        <f t="shared" si="34"/>
        <v/>
      </c>
      <c r="AH38" s="68" t="str">
        <f t="shared" si="34"/>
        <v/>
      </c>
      <c r="AI38" s="65" t="str">
        <f t="shared" si="34"/>
        <v/>
      </c>
      <c r="AJ38" s="66" t="str">
        <f t="shared" si="34"/>
        <v/>
      </c>
      <c r="AK38" s="67" t="str">
        <f t="shared" si="34"/>
        <v/>
      </c>
      <c r="AL38" s="68" t="str">
        <f t="shared" si="34"/>
        <v/>
      </c>
      <c r="AM38" s="65" t="str">
        <f t="shared" si="34"/>
        <v/>
      </c>
      <c r="AN38" s="66" t="str">
        <f t="shared" si="34"/>
        <v/>
      </c>
      <c r="AO38" s="67" t="str">
        <f t="shared" si="34"/>
        <v/>
      </c>
      <c r="AP38" s="68" t="str">
        <f t="shared" si="34"/>
        <v/>
      </c>
      <c r="AQ38" s="65" t="str">
        <f t="shared" si="34"/>
        <v/>
      </c>
      <c r="AR38" s="66" t="str">
        <f t="shared" si="34"/>
        <v/>
      </c>
      <c r="AS38" s="67" t="str">
        <f t="shared" si="34"/>
        <v/>
      </c>
      <c r="AT38" s="68" t="str">
        <f t="shared" si="34"/>
        <v/>
      </c>
      <c r="AU38" s="65" t="str">
        <f t="shared" si="34"/>
        <v/>
      </c>
      <c r="AV38" s="66" t="str">
        <f t="shared" si="34"/>
        <v/>
      </c>
      <c r="AW38" s="67" t="str">
        <f t="shared" si="34"/>
        <v/>
      </c>
      <c r="AX38" s="68" t="str">
        <f t="shared" si="34"/>
        <v/>
      </c>
      <c r="AY38" s="66" t="str">
        <f t="shared" si="34"/>
        <v/>
      </c>
      <c r="AZ38" s="66" t="str">
        <f t="shared" si="34"/>
        <v/>
      </c>
      <c r="BA38" s="67" t="str">
        <f t="shared" si="34"/>
        <v/>
      </c>
      <c r="BB38" s="69" t="str">
        <f t="shared" si="34"/>
        <v/>
      </c>
      <c r="BC38" s="70" t="str">
        <f t="shared" si="34"/>
        <v/>
      </c>
      <c r="BD38" s="71" t="str">
        <f t="shared" si="34"/>
        <v/>
      </c>
      <c r="BE38" s="72" t="str">
        <f t="shared" si="34"/>
        <v/>
      </c>
      <c r="BF38" s="73" t="str">
        <f t="shared" si="34"/>
        <v/>
      </c>
      <c r="BG38" s="120" t="s">
        <v>9</v>
      </c>
      <c r="BH38" s="121"/>
      <c r="BI38" s="74" t="str">
        <f t="shared" ref="BI38:CF38" si="35">IF(SUM(BI8:BI37)=0,"",AVERAGE(BI8:BI37))</f>
        <v/>
      </c>
      <c r="BJ38" s="74" t="str">
        <f t="shared" si="35"/>
        <v/>
      </c>
      <c r="BK38" s="75" t="str">
        <f t="shared" si="35"/>
        <v/>
      </c>
      <c r="BL38" s="76" t="str">
        <f t="shared" si="35"/>
        <v/>
      </c>
      <c r="BM38" s="77" t="str">
        <f t="shared" si="35"/>
        <v/>
      </c>
      <c r="BN38" s="74" t="str">
        <f t="shared" si="35"/>
        <v/>
      </c>
      <c r="BO38" s="75" t="str">
        <f t="shared" si="35"/>
        <v/>
      </c>
      <c r="BP38" s="78" t="str">
        <f t="shared" si="35"/>
        <v/>
      </c>
      <c r="BQ38" s="65" t="str">
        <f t="shared" si="35"/>
        <v/>
      </c>
      <c r="BR38" s="66" t="str">
        <f t="shared" si="35"/>
        <v/>
      </c>
      <c r="BS38" s="67" t="str">
        <f t="shared" si="35"/>
        <v/>
      </c>
      <c r="BT38" s="68" t="str">
        <f t="shared" si="35"/>
        <v/>
      </c>
      <c r="BU38" s="77" t="str">
        <f t="shared" si="35"/>
        <v/>
      </c>
      <c r="BV38" s="74" t="str">
        <f t="shared" si="35"/>
        <v/>
      </c>
      <c r="BW38" s="75" t="str">
        <f t="shared" si="35"/>
        <v/>
      </c>
      <c r="BX38" s="78" t="str">
        <f t="shared" si="35"/>
        <v/>
      </c>
      <c r="BY38" s="77" t="str">
        <f t="shared" si="35"/>
        <v/>
      </c>
      <c r="BZ38" s="74" t="str">
        <f t="shared" si="35"/>
        <v/>
      </c>
      <c r="CA38" s="75" t="str">
        <f t="shared" si="35"/>
        <v/>
      </c>
      <c r="CB38" s="78" t="str">
        <f t="shared" si="35"/>
        <v/>
      </c>
      <c r="CC38" s="65" t="str">
        <f t="shared" si="35"/>
        <v/>
      </c>
      <c r="CD38" s="66" t="str">
        <f t="shared" si="35"/>
        <v/>
      </c>
      <c r="CE38" s="67" t="str">
        <f t="shared" si="35"/>
        <v/>
      </c>
      <c r="CF38" s="68" t="str">
        <f t="shared" si="35"/>
        <v/>
      </c>
    </row>
    <row r="39" spans="1:84" x14ac:dyDescent="0.25">
      <c r="A39" s="107" t="s">
        <v>10</v>
      </c>
      <c r="B39" s="108"/>
      <c r="C39" s="65" t="str">
        <f t="shared" ref="C39:F39" si="36">IF(SUM(C8:C37)=0,"",MEDIAN(C8:C37))</f>
        <v/>
      </c>
      <c r="D39" s="66" t="str">
        <f t="shared" ref="D39" si="37">IF(SUM(D8:D37)=0,"",MEDIAN(D8:D37))</f>
        <v/>
      </c>
      <c r="E39" s="67" t="str">
        <f t="shared" si="36"/>
        <v/>
      </c>
      <c r="F39" s="68" t="str">
        <f t="shared" si="36"/>
        <v/>
      </c>
      <c r="G39" s="65" t="str">
        <f t="shared" ref="G39:N39" si="38">IF(SUM(G8:G37)=0,"",MEDIAN(G8:G37))</f>
        <v/>
      </c>
      <c r="H39" s="66" t="str">
        <f t="shared" si="38"/>
        <v/>
      </c>
      <c r="I39" s="67" t="str">
        <f t="shared" si="38"/>
        <v/>
      </c>
      <c r="J39" s="68" t="str">
        <f t="shared" si="38"/>
        <v/>
      </c>
      <c r="K39" s="65" t="str">
        <f t="shared" si="38"/>
        <v/>
      </c>
      <c r="L39" s="66" t="str">
        <f t="shared" si="38"/>
        <v/>
      </c>
      <c r="M39" s="67" t="str">
        <f t="shared" si="38"/>
        <v/>
      </c>
      <c r="N39" s="68" t="str">
        <f t="shared" si="38"/>
        <v/>
      </c>
      <c r="O39" s="66" t="str">
        <f t="shared" ref="O39:BF39" si="39">IF(SUM(O8:O37)=0,"",MEDIAN(O8:O37))</f>
        <v/>
      </c>
      <c r="P39" s="66" t="str">
        <f t="shared" si="39"/>
        <v/>
      </c>
      <c r="Q39" s="67" t="str">
        <f t="shared" si="39"/>
        <v/>
      </c>
      <c r="R39" s="69" t="str">
        <f t="shared" si="39"/>
        <v/>
      </c>
      <c r="S39" s="65" t="str">
        <f t="shared" si="39"/>
        <v/>
      </c>
      <c r="T39" s="66" t="str">
        <f t="shared" si="39"/>
        <v/>
      </c>
      <c r="U39" s="67" t="str">
        <f t="shared" si="39"/>
        <v/>
      </c>
      <c r="V39" s="68" t="str">
        <f t="shared" si="39"/>
        <v/>
      </c>
      <c r="W39" s="65" t="str">
        <f t="shared" si="39"/>
        <v/>
      </c>
      <c r="X39" s="66" t="str">
        <f t="shared" si="39"/>
        <v/>
      </c>
      <c r="Y39" s="67" t="str">
        <f t="shared" si="39"/>
        <v/>
      </c>
      <c r="Z39" s="68" t="str">
        <f t="shared" si="39"/>
        <v/>
      </c>
      <c r="AA39" s="66" t="str">
        <f t="shared" si="39"/>
        <v/>
      </c>
      <c r="AB39" s="66" t="str">
        <f t="shared" si="39"/>
        <v/>
      </c>
      <c r="AC39" s="67" t="str">
        <f t="shared" si="39"/>
        <v/>
      </c>
      <c r="AD39" s="69" t="str">
        <f t="shared" si="39"/>
        <v/>
      </c>
      <c r="AE39" s="65" t="str">
        <f t="shared" si="39"/>
        <v/>
      </c>
      <c r="AF39" s="66" t="str">
        <f t="shared" si="39"/>
        <v/>
      </c>
      <c r="AG39" s="67" t="str">
        <f t="shared" si="39"/>
        <v/>
      </c>
      <c r="AH39" s="68" t="str">
        <f t="shared" si="39"/>
        <v/>
      </c>
      <c r="AI39" s="65" t="str">
        <f t="shared" si="39"/>
        <v/>
      </c>
      <c r="AJ39" s="66" t="str">
        <f t="shared" si="39"/>
        <v/>
      </c>
      <c r="AK39" s="67" t="str">
        <f t="shared" si="39"/>
        <v/>
      </c>
      <c r="AL39" s="68" t="str">
        <f t="shared" si="39"/>
        <v/>
      </c>
      <c r="AM39" s="65" t="str">
        <f t="shared" si="39"/>
        <v/>
      </c>
      <c r="AN39" s="66" t="str">
        <f t="shared" si="39"/>
        <v/>
      </c>
      <c r="AO39" s="67" t="str">
        <f t="shared" si="39"/>
        <v/>
      </c>
      <c r="AP39" s="68" t="str">
        <f t="shared" si="39"/>
        <v/>
      </c>
      <c r="AQ39" s="65" t="str">
        <f t="shared" si="39"/>
        <v/>
      </c>
      <c r="AR39" s="66" t="str">
        <f t="shared" si="39"/>
        <v/>
      </c>
      <c r="AS39" s="67" t="str">
        <f t="shared" si="39"/>
        <v/>
      </c>
      <c r="AT39" s="68" t="str">
        <f t="shared" si="39"/>
        <v/>
      </c>
      <c r="AU39" s="65" t="str">
        <f t="shared" si="39"/>
        <v/>
      </c>
      <c r="AV39" s="66" t="str">
        <f t="shared" si="39"/>
        <v/>
      </c>
      <c r="AW39" s="67" t="str">
        <f t="shared" si="39"/>
        <v/>
      </c>
      <c r="AX39" s="68" t="str">
        <f t="shared" si="39"/>
        <v/>
      </c>
      <c r="AY39" s="66" t="str">
        <f t="shared" si="39"/>
        <v/>
      </c>
      <c r="AZ39" s="66" t="str">
        <f t="shared" si="39"/>
        <v/>
      </c>
      <c r="BA39" s="67" t="str">
        <f t="shared" si="39"/>
        <v/>
      </c>
      <c r="BB39" s="69" t="str">
        <f t="shared" si="39"/>
        <v/>
      </c>
      <c r="BC39" s="70" t="str">
        <f t="shared" si="39"/>
        <v/>
      </c>
      <c r="BD39" s="71" t="str">
        <f t="shared" si="39"/>
        <v/>
      </c>
      <c r="BE39" s="72" t="str">
        <f t="shared" si="39"/>
        <v/>
      </c>
      <c r="BF39" s="73" t="str">
        <f t="shared" si="39"/>
        <v/>
      </c>
      <c r="BG39" s="107" t="s">
        <v>10</v>
      </c>
      <c r="BH39" s="108"/>
      <c r="BI39" s="74" t="str">
        <f t="shared" ref="BI39:CF39" si="40">IF(SUM(BI8:BI37)=0,"",MEDIAN(BI8:BI37))</f>
        <v/>
      </c>
      <c r="BJ39" s="74" t="str">
        <f t="shared" si="40"/>
        <v/>
      </c>
      <c r="BK39" s="75" t="str">
        <f t="shared" si="40"/>
        <v/>
      </c>
      <c r="BL39" s="76" t="str">
        <f t="shared" si="40"/>
        <v/>
      </c>
      <c r="BM39" s="77" t="str">
        <f t="shared" si="40"/>
        <v/>
      </c>
      <c r="BN39" s="74" t="str">
        <f t="shared" si="40"/>
        <v/>
      </c>
      <c r="BO39" s="75" t="str">
        <f t="shared" si="40"/>
        <v/>
      </c>
      <c r="BP39" s="78" t="str">
        <f t="shared" si="40"/>
        <v/>
      </c>
      <c r="BQ39" s="65" t="str">
        <f t="shared" si="40"/>
        <v/>
      </c>
      <c r="BR39" s="66" t="str">
        <f t="shared" si="40"/>
        <v/>
      </c>
      <c r="BS39" s="67" t="str">
        <f t="shared" si="40"/>
        <v/>
      </c>
      <c r="BT39" s="68" t="str">
        <f t="shared" si="40"/>
        <v/>
      </c>
      <c r="BU39" s="77" t="str">
        <f t="shared" si="40"/>
        <v/>
      </c>
      <c r="BV39" s="74" t="str">
        <f t="shared" si="40"/>
        <v/>
      </c>
      <c r="BW39" s="75" t="str">
        <f t="shared" si="40"/>
        <v/>
      </c>
      <c r="BX39" s="78" t="str">
        <f t="shared" si="40"/>
        <v/>
      </c>
      <c r="BY39" s="77" t="str">
        <f t="shared" si="40"/>
        <v/>
      </c>
      <c r="BZ39" s="74" t="str">
        <f t="shared" si="40"/>
        <v/>
      </c>
      <c r="CA39" s="75" t="str">
        <f t="shared" si="40"/>
        <v/>
      </c>
      <c r="CB39" s="78" t="str">
        <f t="shared" si="40"/>
        <v/>
      </c>
      <c r="CC39" s="65" t="str">
        <f t="shared" si="40"/>
        <v/>
      </c>
      <c r="CD39" s="66" t="str">
        <f t="shared" si="40"/>
        <v/>
      </c>
      <c r="CE39" s="67" t="str">
        <f t="shared" si="40"/>
        <v/>
      </c>
      <c r="CF39" s="68" t="str">
        <f t="shared" si="40"/>
        <v/>
      </c>
    </row>
    <row r="40" spans="1:84" x14ac:dyDescent="0.25">
      <c r="A40" s="107" t="s">
        <v>11</v>
      </c>
      <c r="B40" s="108"/>
      <c r="C40" s="65" t="str">
        <f t="shared" ref="C40:F40" si="41">IF(SUM(C8:C37)=0,"",MAX(C8:C37))</f>
        <v/>
      </c>
      <c r="D40" s="66" t="str">
        <f t="shared" ref="D40" si="42">IF(SUM(D8:D37)=0,"",MAX(D8:D37))</f>
        <v/>
      </c>
      <c r="E40" s="67" t="str">
        <f t="shared" si="41"/>
        <v/>
      </c>
      <c r="F40" s="68" t="str">
        <f t="shared" si="41"/>
        <v/>
      </c>
      <c r="G40" s="66" t="str">
        <f t="shared" ref="G40:N40" si="43">IF(SUM(G8:G37)=0,"",MAX(G8:G37))</f>
        <v/>
      </c>
      <c r="H40" s="66" t="str">
        <f t="shared" si="43"/>
        <v/>
      </c>
      <c r="I40" s="67" t="str">
        <f t="shared" si="43"/>
        <v/>
      </c>
      <c r="J40" s="69" t="str">
        <f t="shared" si="43"/>
        <v/>
      </c>
      <c r="K40" s="65" t="str">
        <f t="shared" si="43"/>
        <v/>
      </c>
      <c r="L40" s="66" t="str">
        <f t="shared" si="43"/>
        <v/>
      </c>
      <c r="M40" s="67" t="str">
        <f t="shared" si="43"/>
        <v/>
      </c>
      <c r="N40" s="68" t="str">
        <f t="shared" si="43"/>
        <v/>
      </c>
      <c r="O40" s="66" t="str">
        <f t="shared" ref="O40:BF40" si="44">IF(SUM(O8:O37)=0,"",MAX(O8:O37))</f>
        <v/>
      </c>
      <c r="P40" s="66" t="str">
        <f t="shared" si="44"/>
        <v/>
      </c>
      <c r="Q40" s="67" t="str">
        <f t="shared" si="44"/>
        <v/>
      </c>
      <c r="R40" s="69" t="str">
        <f t="shared" si="44"/>
        <v/>
      </c>
      <c r="S40" s="65" t="str">
        <f t="shared" si="44"/>
        <v/>
      </c>
      <c r="T40" s="66" t="str">
        <f t="shared" si="44"/>
        <v/>
      </c>
      <c r="U40" s="67" t="str">
        <f t="shared" si="44"/>
        <v/>
      </c>
      <c r="V40" s="68" t="str">
        <f t="shared" si="44"/>
        <v/>
      </c>
      <c r="W40" s="65" t="str">
        <f t="shared" si="44"/>
        <v/>
      </c>
      <c r="X40" s="66" t="str">
        <f t="shared" si="44"/>
        <v/>
      </c>
      <c r="Y40" s="67" t="str">
        <f t="shared" si="44"/>
        <v/>
      </c>
      <c r="Z40" s="68" t="str">
        <f t="shared" si="44"/>
        <v/>
      </c>
      <c r="AA40" s="66" t="str">
        <f t="shared" si="44"/>
        <v/>
      </c>
      <c r="AB40" s="66" t="str">
        <f t="shared" si="44"/>
        <v/>
      </c>
      <c r="AC40" s="67" t="str">
        <f t="shared" si="44"/>
        <v/>
      </c>
      <c r="AD40" s="69" t="str">
        <f t="shared" si="44"/>
        <v/>
      </c>
      <c r="AE40" s="65" t="str">
        <f t="shared" si="44"/>
        <v/>
      </c>
      <c r="AF40" s="66" t="str">
        <f t="shared" si="44"/>
        <v/>
      </c>
      <c r="AG40" s="67" t="str">
        <f t="shared" si="44"/>
        <v/>
      </c>
      <c r="AH40" s="68" t="str">
        <f t="shared" si="44"/>
        <v/>
      </c>
      <c r="AI40" s="65" t="str">
        <f t="shared" si="44"/>
        <v/>
      </c>
      <c r="AJ40" s="66" t="str">
        <f t="shared" si="44"/>
        <v/>
      </c>
      <c r="AK40" s="67" t="str">
        <f t="shared" si="44"/>
        <v/>
      </c>
      <c r="AL40" s="68" t="str">
        <f t="shared" si="44"/>
        <v/>
      </c>
      <c r="AM40" s="65" t="str">
        <f t="shared" si="44"/>
        <v/>
      </c>
      <c r="AN40" s="66" t="str">
        <f t="shared" si="44"/>
        <v/>
      </c>
      <c r="AO40" s="67" t="str">
        <f t="shared" si="44"/>
        <v/>
      </c>
      <c r="AP40" s="68" t="str">
        <f t="shared" si="44"/>
        <v/>
      </c>
      <c r="AQ40" s="65" t="str">
        <f t="shared" si="44"/>
        <v/>
      </c>
      <c r="AR40" s="66" t="str">
        <f t="shared" si="44"/>
        <v/>
      </c>
      <c r="AS40" s="67" t="str">
        <f t="shared" si="44"/>
        <v/>
      </c>
      <c r="AT40" s="68" t="str">
        <f t="shared" si="44"/>
        <v/>
      </c>
      <c r="AU40" s="65" t="str">
        <f t="shared" si="44"/>
        <v/>
      </c>
      <c r="AV40" s="66" t="str">
        <f t="shared" si="44"/>
        <v/>
      </c>
      <c r="AW40" s="67" t="str">
        <f t="shared" si="44"/>
        <v/>
      </c>
      <c r="AX40" s="68" t="str">
        <f t="shared" si="44"/>
        <v/>
      </c>
      <c r="AY40" s="66" t="str">
        <f t="shared" si="44"/>
        <v/>
      </c>
      <c r="AZ40" s="66" t="str">
        <f t="shared" si="44"/>
        <v/>
      </c>
      <c r="BA40" s="67" t="str">
        <f t="shared" si="44"/>
        <v/>
      </c>
      <c r="BB40" s="69" t="str">
        <f t="shared" si="44"/>
        <v/>
      </c>
      <c r="BC40" s="70" t="str">
        <f t="shared" si="44"/>
        <v/>
      </c>
      <c r="BD40" s="71" t="str">
        <f t="shared" si="44"/>
        <v/>
      </c>
      <c r="BE40" s="72" t="str">
        <f t="shared" si="44"/>
        <v/>
      </c>
      <c r="BF40" s="73" t="str">
        <f t="shared" si="44"/>
        <v/>
      </c>
      <c r="BG40" s="107" t="s">
        <v>11</v>
      </c>
      <c r="BH40" s="108"/>
      <c r="BI40" s="74" t="str">
        <f t="shared" ref="BI40:CF40" si="45">IF(SUM(BI8:BI37)=0,"",MAX(BI8:BI37))</f>
        <v/>
      </c>
      <c r="BJ40" s="74" t="str">
        <f t="shared" si="45"/>
        <v/>
      </c>
      <c r="BK40" s="75" t="str">
        <f t="shared" si="45"/>
        <v/>
      </c>
      <c r="BL40" s="76" t="str">
        <f t="shared" si="45"/>
        <v/>
      </c>
      <c r="BM40" s="77" t="str">
        <f t="shared" si="45"/>
        <v/>
      </c>
      <c r="BN40" s="74" t="str">
        <f t="shared" si="45"/>
        <v/>
      </c>
      <c r="BO40" s="75" t="str">
        <f t="shared" si="45"/>
        <v/>
      </c>
      <c r="BP40" s="78" t="str">
        <f t="shared" si="45"/>
        <v/>
      </c>
      <c r="BQ40" s="65" t="str">
        <f t="shared" si="45"/>
        <v/>
      </c>
      <c r="BR40" s="66" t="str">
        <f t="shared" si="45"/>
        <v/>
      </c>
      <c r="BS40" s="67" t="str">
        <f t="shared" si="45"/>
        <v/>
      </c>
      <c r="BT40" s="68" t="str">
        <f t="shared" si="45"/>
        <v/>
      </c>
      <c r="BU40" s="77" t="str">
        <f t="shared" si="45"/>
        <v/>
      </c>
      <c r="BV40" s="74" t="str">
        <f t="shared" si="45"/>
        <v/>
      </c>
      <c r="BW40" s="75" t="str">
        <f t="shared" si="45"/>
        <v/>
      </c>
      <c r="BX40" s="78" t="str">
        <f t="shared" si="45"/>
        <v/>
      </c>
      <c r="BY40" s="77" t="str">
        <f t="shared" si="45"/>
        <v/>
      </c>
      <c r="BZ40" s="74" t="str">
        <f t="shared" si="45"/>
        <v/>
      </c>
      <c r="CA40" s="75" t="str">
        <f t="shared" si="45"/>
        <v/>
      </c>
      <c r="CB40" s="78" t="str">
        <f t="shared" si="45"/>
        <v/>
      </c>
      <c r="CC40" s="65" t="str">
        <f t="shared" si="45"/>
        <v/>
      </c>
      <c r="CD40" s="66" t="str">
        <f t="shared" si="45"/>
        <v/>
      </c>
      <c r="CE40" s="67" t="str">
        <f t="shared" si="45"/>
        <v/>
      </c>
      <c r="CF40" s="68" t="str">
        <f t="shared" si="45"/>
        <v/>
      </c>
    </row>
    <row r="41" spans="1:84" x14ac:dyDescent="0.25">
      <c r="A41" s="107" t="s">
        <v>12</v>
      </c>
      <c r="B41" s="108"/>
      <c r="C41" s="65" t="str">
        <f t="shared" ref="C41:F41" si="46">IF(SUM(C8:C37)=0,"",MIN(C8:C37))</f>
        <v/>
      </c>
      <c r="D41" s="66" t="str">
        <f t="shared" ref="D41" si="47">IF(SUM(D8:D37)=0,"",MIN(D8:D37))</f>
        <v/>
      </c>
      <c r="E41" s="67" t="str">
        <f t="shared" si="46"/>
        <v/>
      </c>
      <c r="F41" s="68" t="str">
        <f t="shared" si="46"/>
        <v/>
      </c>
      <c r="G41" s="65" t="str">
        <f t="shared" ref="G41:N41" si="48">IF(SUM(G8:G37)=0,"",MIN(G8:G37))</f>
        <v/>
      </c>
      <c r="H41" s="66" t="str">
        <f t="shared" si="48"/>
        <v/>
      </c>
      <c r="I41" s="67" t="str">
        <f t="shared" si="48"/>
        <v/>
      </c>
      <c r="J41" s="68" t="str">
        <f t="shared" si="48"/>
        <v/>
      </c>
      <c r="K41" s="65" t="str">
        <f t="shared" si="48"/>
        <v/>
      </c>
      <c r="L41" s="66" t="str">
        <f t="shared" si="48"/>
        <v/>
      </c>
      <c r="M41" s="67" t="str">
        <f t="shared" si="48"/>
        <v/>
      </c>
      <c r="N41" s="68" t="str">
        <f t="shared" si="48"/>
        <v/>
      </c>
      <c r="O41" s="66" t="str">
        <f t="shared" ref="O41:BF41" si="49">IF(SUM(O8:O37)=0,"",MIN(O8:O37))</f>
        <v/>
      </c>
      <c r="P41" s="66" t="str">
        <f t="shared" si="49"/>
        <v/>
      </c>
      <c r="Q41" s="67" t="str">
        <f t="shared" si="49"/>
        <v/>
      </c>
      <c r="R41" s="69" t="str">
        <f t="shared" si="49"/>
        <v/>
      </c>
      <c r="S41" s="65" t="str">
        <f t="shared" si="49"/>
        <v/>
      </c>
      <c r="T41" s="66" t="str">
        <f t="shared" si="49"/>
        <v/>
      </c>
      <c r="U41" s="67" t="str">
        <f t="shared" si="49"/>
        <v/>
      </c>
      <c r="V41" s="68" t="str">
        <f t="shared" si="49"/>
        <v/>
      </c>
      <c r="W41" s="65" t="str">
        <f t="shared" si="49"/>
        <v/>
      </c>
      <c r="X41" s="66" t="str">
        <f t="shared" si="49"/>
        <v/>
      </c>
      <c r="Y41" s="67" t="str">
        <f t="shared" si="49"/>
        <v/>
      </c>
      <c r="Z41" s="68" t="str">
        <f t="shared" si="49"/>
        <v/>
      </c>
      <c r="AA41" s="66" t="str">
        <f t="shared" si="49"/>
        <v/>
      </c>
      <c r="AB41" s="66" t="str">
        <f t="shared" si="49"/>
        <v/>
      </c>
      <c r="AC41" s="67" t="str">
        <f t="shared" si="49"/>
        <v/>
      </c>
      <c r="AD41" s="69" t="str">
        <f t="shared" si="49"/>
        <v/>
      </c>
      <c r="AE41" s="65" t="str">
        <f t="shared" si="49"/>
        <v/>
      </c>
      <c r="AF41" s="66" t="str">
        <f t="shared" si="49"/>
        <v/>
      </c>
      <c r="AG41" s="67" t="str">
        <f t="shared" si="49"/>
        <v/>
      </c>
      <c r="AH41" s="68" t="str">
        <f t="shared" si="49"/>
        <v/>
      </c>
      <c r="AI41" s="65" t="str">
        <f t="shared" si="49"/>
        <v/>
      </c>
      <c r="AJ41" s="66" t="str">
        <f t="shared" si="49"/>
        <v/>
      </c>
      <c r="AK41" s="67" t="str">
        <f t="shared" si="49"/>
        <v/>
      </c>
      <c r="AL41" s="68" t="str">
        <f t="shared" si="49"/>
        <v/>
      </c>
      <c r="AM41" s="65" t="str">
        <f t="shared" si="49"/>
        <v/>
      </c>
      <c r="AN41" s="66" t="str">
        <f t="shared" si="49"/>
        <v/>
      </c>
      <c r="AO41" s="67" t="str">
        <f t="shared" si="49"/>
        <v/>
      </c>
      <c r="AP41" s="68" t="str">
        <f t="shared" si="49"/>
        <v/>
      </c>
      <c r="AQ41" s="65" t="str">
        <f t="shared" si="49"/>
        <v/>
      </c>
      <c r="AR41" s="66" t="str">
        <f t="shared" si="49"/>
        <v/>
      </c>
      <c r="AS41" s="67" t="str">
        <f t="shared" si="49"/>
        <v/>
      </c>
      <c r="AT41" s="68" t="str">
        <f t="shared" si="49"/>
        <v/>
      </c>
      <c r="AU41" s="65" t="str">
        <f t="shared" si="49"/>
        <v/>
      </c>
      <c r="AV41" s="66" t="str">
        <f t="shared" si="49"/>
        <v/>
      </c>
      <c r="AW41" s="67" t="str">
        <f t="shared" si="49"/>
        <v/>
      </c>
      <c r="AX41" s="68" t="str">
        <f t="shared" si="49"/>
        <v/>
      </c>
      <c r="AY41" s="66" t="str">
        <f t="shared" si="49"/>
        <v/>
      </c>
      <c r="AZ41" s="66" t="str">
        <f t="shared" si="49"/>
        <v/>
      </c>
      <c r="BA41" s="67" t="str">
        <f t="shared" si="49"/>
        <v/>
      </c>
      <c r="BB41" s="69" t="str">
        <f t="shared" si="49"/>
        <v/>
      </c>
      <c r="BC41" s="70" t="str">
        <f t="shared" si="49"/>
        <v/>
      </c>
      <c r="BD41" s="71" t="str">
        <f t="shared" si="49"/>
        <v/>
      </c>
      <c r="BE41" s="72" t="str">
        <f t="shared" si="49"/>
        <v/>
      </c>
      <c r="BF41" s="73" t="str">
        <f t="shared" si="49"/>
        <v/>
      </c>
      <c r="BG41" s="107" t="s">
        <v>12</v>
      </c>
      <c r="BH41" s="108"/>
      <c r="BI41" s="74" t="str">
        <f t="shared" ref="BI41:CF41" si="50">IF(SUM(BI8:BI37)=0,"",MIN(BI8:BI37))</f>
        <v/>
      </c>
      <c r="BJ41" s="74" t="str">
        <f t="shared" si="50"/>
        <v/>
      </c>
      <c r="BK41" s="75" t="str">
        <f t="shared" si="50"/>
        <v/>
      </c>
      <c r="BL41" s="76" t="str">
        <f t="shared" si="50"/>
        <v/>
      </c>
      <c r="BM41" s="77" t="str">
        <f t="shared" si="50"/>
        <v/>
      </c>
      <c r="BN41" s="74" t="str">
        <f t="shared" si="50"/>
        <v/>
      </c>
      <c r="BO41" s="75" t="str">
        <f t="shared" si="50"/>
        <v/>
      </c>
      <c r="BP41" s="78" t="str">
        <f t="shared" si="50"/>
        <v/>
      </c>
      <c r="BQ41" s="65" t="str">
        <f t="shared" si="50"/>
        <v/>
      </c>
      <c r="BR41" s="66" t="str">
        <f t="shared" si="50"/>
        <v/>
      </c>
      <c r="BS41" s="67" t="str">
        <f t="shared" si="50"/>
        <v/>
      </c>
      <c r="BT41" s="68" t="str">
        <f t="shared" si="50"/>
        <v/>
      </c>
      <c r="BU41" s="77" t="str">
        <f t="shared" si="50"/>
        <v/>
      </c>
      <c r="BV41" s="74" t="str">
        <f t="shared" si="50"/>
        <v/>
      </c>
      <c r="BW41" s="75" t="str">
        <f t="shared" si="50"/>
        <v/>
      </c>
      <c r="BX41" s="78" t="str">
        <f t="shared" si="50"/>
        <v/>
      </c>
      <c r="BY41" s="77" t="str">
        <f t="shared" si="50"/>
        <v/>
      </c>
      <c r="BZ41" s="74" t="str">
        <f t="shared" si="50"/>
        <v/>
      </c>
      <c r="CA41" s="75" t="str">
        <f t="shared" si="50"/>
        <v/>
      </c>
      <c r="CB41" s="78" t="str">
        <f t="shared" si="50"/>
        <v/>
      </c>
      <c r="CC41" s="65" t="str">
        <f t="shared" si="50"/>
        <v/>
      </c>
      <c r="CD41" s="66" t="str">
        <f t="shared" si="50"/>
        <v/>
      </c>
      <c r="CE41" s="67" t="str">
        <f t="shared" si="50"/>
        <v/>
      </c>
      <c r="CF41" s="68" t="str">
        <f t="shared" si="50"/>
        <v/>
      </c>
    </row>
    <row r="42" spans="1:84" x14ac:dyDescent="0.25">
      <c r="A42" s="143" t="s">
        <v>13</v>
      </c>
      <c r="B42" s="144"/>
      <c r="C42" s="82" t="str">
        <f t="shared" ref="C42:F42" si="51">IF(C38="","",COUNTIF(C8:C37,"&lt;51")/COUNT(C8:C37)*100)</f>
        <v/>
      </c>
      <c r="D42" s="83" t="str">
        <f t="shared" ref="D42" si="52">IF(D38="","",COUNTIF(D8:D37,"&lt;51")/COUNT(D8:D37)*100)</f>
        <v/>
      </c>
      <c r="E42" s="84" t="str">
        <f t="shared" si="51"/>
        <v/>
      </c>
      <c r="F42" s="85" t="str">
        <f t="shared" si="51"/>
        <v/>
      </c>
      <c r="G42" s="82" t="str">
        <f t="shared" ref="G42:N42" si="53">IF(G38="","",COUNTIF(G8:G37,"&lt;51")/COUNT(G8:G37)*100)</f>
        <v/>
      </c>
      <c r="H42" s="83" t="str">
        <f t="shared" si="53"/>
        <v/>
      </c>
      <c r="I42" s="84" t="str">
        <f t="shared" si="53"/>
        <v/>
      </c>
      <c r="J42" s="85" t="str">
        <f t="shared" si="53"/>
        <v/>
      </c>
      <c r="K42" s="82" t="str">
        <f t="shared" si="53"/>
        <v/>
      </c>
      <c r="L42" s="83" t="str">
        <f t="shared" si="53"/>
        <v/>
      </c>
      <c r="M42" s="84" t="str">
        <f t="shared" si="53"/>
        <v/>
      </c>
      <c r="N42" s="85" t="str">
        <f t="shared" si="53"/>
        <v/>
      </c>
      <c r="O42" s="83" t="str">
        <f t="shared" ref="O42:BF42" si="54">IF(O38="","",COUNTIF(O8:O37,"&lt;51")/COUNT(O8:O37)*100)</f>
        <v/>
      </c>
      <c r="P42" s="83" t="str">
        <f t="shared" si="54"/>
        <v/>
      </c>
      <c r="Q42" s="84" t="str">
        <f t="shared" si="54"/>
        <v/>
      </c>
      <c r="R42" s="86" t="str">
        <f t="shared" si="54"/>
        <v/>
      </c>
      <c r="S42" s="82" t="str">
        <f t="shared" si="54"/>
        <v/>
      </c>
      <c r="T42" s="83" t="str">
        <f t="shared" si="54"/>
        <v/>
      </c>
      <c r="U42" s="84" t="str">
        <f t="shared" si="54"/>
        <v/>
      </c>
      <c r="V42" s="85" t="str">
        <f t="shared" si="54"/>
        <v/>
      </c>
      <c r="W42" s="82" t="str">
        <f t="shared" si="54"/>
        <v/>
      </c>
      <c r="X42" s="83" t="str">
        <f t="shared" si="54"/>
        <v/>
      </c>
      <c r="Y42" s="84" t="str">
        <f t="shared" si="54"/>
        <v/>
      </c>
      <c r="Z42" s="85" t="str">
        <f t="shared" si="54"/>
        <v/>
      </c>
      <c r="AA42" s="83" t="str">
        <f t="shared" si="54"/>
        <v/>
      </c>
      <c r="AB42" s="83" t="str">
        <f t="shared" si="54"/>
        <v/>
      </c>
      <c r="AC42" s="84" t="str">
        <f t="shared" si="54"/>
        <v/>
      </c>
      <c r="AD42" s="86" t="str">
        <f t="shared" si="54"/>
        <v/>
      </c>
      <c r="AE42" s="82" t="str">
        <f t="shared" si="54"/>
        <v/>
      </c>
      <c r="AF42" s="83" t="str">
        <f t="shared" si="54"/>
        <v/>
      </c>
      <c r="AG42" s="84" t="str">
        <f t="shared" si="54"/>
        <v/>
      </c>
      <c r="AH42" s="85" t="str">
        <f t="shared" si="54"/>
        <v/>
      </c>
      <c r="AI42" s="82" t="str">
        <f t="shared" si="54"/>
        <v/>
      </c>
      <c r="AJ42" s="83" t="str">
        <f t="shared" si="54"/>
        <v/>
      </c>
      <c r="AK42" s="84" t="str">
        <f t="shared" si="54"/>
        <v/>
      </c>
      <c r="AL42" s="85" t="str">
        <f t="shared" si="54"/>
        <v/>
      </c>
      <c r="AM42" s="82" t="str">
        <f t="shared" si="54"/>
        <v/>
      </c>
      <c r="AN42" s="83" t="str">
        <f t="shared" si="54"/>
        <v/>
      </c>
      <c r="AO42" s="84" t="str">
        <f t="shared" si="54"/>
        <v/>
      </c>
      <c r="AP42" s="85" t="str">
        <f t="shared" si="54"/>
        <v/>
      </c>
      <c r="AQ42" s="82" t="str">
        <f t="shared" si="54"/>
        <v/>
      </c>
      <c r="AR42" s="83" t="str">
        <f t="shared" si="54"/>
        <v/>
      </c>
      <c r="AS42" s="84" t="str">
        <f t="shared" si="54"/>
        <v/>
      </c>
      <c r="AT42" s="85" t="str">
        <f t="shared" si="54"/>
        <v/>
      </c>
      <c r="AU42" s="82" t="str">
        <f t="shared" si="54"/>
        <v/>
      </c>
      <c r="AV42" s="83" t="str">
        <f t="shared" si="54"/>
        <v/>
      </c>
      <c r="AW42" s="84" t="str">
        <f t="shared" si="54"/>
        <v/>
      </c>
      <c r="AX42" s="85" t="str">
        <f t="shared" si="54"/>
        <v/>
      </c>
      <c r="AY42" s="83" t="str">
        <f t="shared" si="54"/>
        <v/>
      </c>
      <c r="AZ42" s="83" t="str">
        <f t="shared" si="54"/>
        <v/>
      </c>
      <c r="BA42" s="84" t="str">
        <f t="shared" si="54"/>
        <v/>
      </c>
      <c r="BB42" s="86" t="str">
        <f t="shared" si="54"/>
        <v/>
      </c>
      <c r="BC42" s="87" t="str">
        <f t="shared" si="54"/>
        <v/>
      </c>
      <c r="BD42" s="88" t="str">
        <f t="shared" si="54"/>
        <v/>
      </c>
      <c r="BE42" s="89" t="str">
        <f t="shared" si="54"/>
        <v/>
      </c>
      <c r="BF42" s="90" t="str">
        <f t="shared" si="54"/>
        <v/>
      </c>
      <c r="BG42" s="109" t="s">
        <v>13</v>
      </c>
      <c r="BH42" s="110"/>
      <c r="BI42" s="91" t="str">
        <f t="shared" ref="BI42:CF42" si="55">IF(BI38="","",COUNTIF(BI8:BI37,"&lt;51")/COUNT(BI8:BI37)*100)</f>
        <v/>
      </c>
      <c r="BJ42" s="91" t="str">
        <f t="shared" si="55"/>
        <v/>
      </c>
      <c r="BK42" s="92" t="str">
        <f t="shared" si="55"/>
        <v/>
      </c>
      <c r="BL42" s="93" t="str">
        <f t="shared" si="55"/>
        <v/>
      </c>
      <c r="BM42" s="94" t="str">
        <f t="shared" si="55"/>
        <v/>
      </c>
      <c r="BN42" s="91" t="str">
        <f t="shared" si="55"/>
        <v/>
      </c>
      <c r="BO42" s="92" t="str">
        <f t="shared" si="55"/>
        <v/>
      </c>
      <c r="BP42" s="95" t="str">
        <f t="shared" si="55"/>
        <v/>
      </c>
      <c r="BQ42" s="82" t="str">
        <f t="shared" si="55"/>
        <v/>
      </c>
      <c r="BR42" s="83" t="str">
        <f t="shared" si="55"/>
        <v/>
      </c>
      <c r="BS42" s="84" t="str">
        <f t="shared" si="55"/>
        <v/>
      </c>
      <c r="BT42" s="85" t="str">
        <f t="shared" si="55"/>
        <v/>
      </c>
      <c r="BU42" s="94" t="str">
        <f t="shared" si="55"/>
        <v/>
      </c>
      <c r="BV42" s="91" t="str">
        <f t="shared" si="55"/>
        <v/>
      </c>
      <c r="BW42" s="92" t="str">
        <f t="shared" si="55"/>
        <v/>
      </c>
      <c r="BX42" s="95" t="str">
        <f t="shared" si="55"/>
        <v/>
      </c>
      <c r="BY42" s="94" t="str">
        <f t="shared" si="55"/>
        <v/>
      </c>
      <c r="BZ42" s="91" t="str">
        <f t="shared" si="55"/>
        <v/>
      </c>
      <c r="CA42" s="92" t="str">
        <f t="shared" si="55"/>
        <v/>
      </c>
      <c r="CB42" s="95" t="str">
        <f t="shared" si="55"/>
        <v/>
      </c>
      <c r="CC42" s="82" t="str">
        <f t="shared" si="55"/>
        <v/>
      </c>
      <c r="CD42" s="83" t="str">
        <f t="shared" si="55"/>
        <v/>
      </c>
      <c r="CE42" s="84" t="str">
        <f t="shared" si="55"/>
        <v/>
      </c>
      <c r="CF42" s="85" t="str">
        <f t="shared" si="55"/>
        <v/>
      </c>
    </row>
    <row r="44" spans="1:84" ht="12.75" customHeight="1" x14ac:dyDescent="0.25"/>
    <row r="45" spans="1:84" ht="12.75" customHeight="1" x14ac:dyDescent="0.25"/>
    <row r="46" spans="1:84" ht="12.75" customHeight="1" x14ac:dyDescent="0.25"/>
    <row r="47" spans="1:84" ht="12.75" customHeight="1" x14ac:dyDescent="0.25"/>
    <row r="48" spans="1:84" ht="12.75" customHeight="1" x14ac:dyDescent="0.25"/>
    <row r="49" spans="2:89" ht="12.75" customHeight="1" x14ac:dyDescent="0.25"/>
    <row r="50" spans="2:89" ht="12.75" customHeight="1" x14ac:dyDescent="0.25"/>
    <row r="51" spans="2:89" x14ac:dyDescent="0.25">
      <c r="B51" s="96" t="s">
        <v>24</v>
      </c>
      <c r="C51" s="96"/>
      <c r="D51" s="96"/>
      <c r="E51" s="96"/>
      <c r="F51" s="96"/>
      <c r="G51" s="96"/>
      <c r="H51" s="96"/>
      <c r="I51" s="96"/>
      <c r="J51" s="96"/>
      <c r="K51" s="1"/>
      <c r="L51" s="1"/>
      <c r="M51" s="1"/>
      <c r="N51" s="1"/>
      <c r="O51" s="1"/>
      <c r="P51" s="1"/>
      <c r="Q51" s="96" t="s">
        <v>24</v>
      </c>
      <c r="R51" s="96"/>
      <c r="S51" s="96"/>
      <c r="T51" s="96"/>
      <c r="U51" s="96"/>
      <c r="V51" s="96"/>
      <c r="W51" s="96"/>
      <c r="X51" s="96"/>
      <c r="Y51" s="96"/>
      <c r="Z51" s="96"/>
      <c r="AA51" s="96"/>
      <c r="AB51" s="96"/>
      <c r="AC51" s="96"/>
      <c r="AD51" s="1"/>
      <c r="AE51" s="1"/>
      <c r="AF51" s="1"/>
      <c r="AG51" s="1"/>
      <c r="AH51" s="96" t="s">
        <v>24</v>
      </c>
      <c r="AI51" s="96"/>
      <c r="AJ51" s="96"/>
      <c r="AK51" s="96"/>
      <c r="AL51" s="96"/>
      <c r="AM51" s="96"/>
      <c r="AN51" s="96"/>
      <c r="AO51" s="96"/>
      <c r="AP51" s="96"/>
      <c r="AQ51" s="96"/>
      <c r="AR51" s="96"/>
      <c r="AS51" s="96"/>
      <c r="AT51" s="1"/>
      <c r="AU51" s="1"/>
      <c r="AV51" s="1"/>
      <c r="AW51" s="1"/>
      <c r="AX51" s="1"/>
      <c r="AY51" s="1"/>
      <c r="BG51" s="96" t="s">
        <v>24</v>
      </c>
      <c r="BH51" s="96"/>
      <c r="BI51" s="96"/>
      <c r="BJ51" s="96"/>
      <c r="BK51" s="80"/>
      <c r="BL51" s="96" t="s">
        <v>24</v>
      </c>
      <c r="BM51" s="96"/>
      <c r="BN51" s="96"/>
      <c r="BO51" s="96"/>
      <c r="BP51" s="96"/>
      <c r="BQ51" s="96"/>
      <c r="BR51" s="96"/>
      <c r="BS51" s="96"/>
      <c r="BT51" s="96"/>
      <c r="BU51" s="96"/>
      <c r="BV51" s="81"/>
      <c r="BW51" s="81"/>
      <c r="BX51" s="96" t="s">
        <v>24</v>
      </c>
      <c r="BY51" s="96"/>
      <c r="BZ51" s="96"/>
      <c r="CA51" s="96"/>
      <c r="CB51" s="96"/>
      <c r="CC51" s="96"/>
      <c r="CD51" s="96"/>
      <c r="CE51" s="96"/>
      <c r="CF51" s="96"/>
      <c r="CG51" s="81"/>
      <c r="CH51" s="81"/>
      <c r="CI51" s="81"/>
      <c r="CJ51" s="81"/>
      <c r="CK51" s="81"/>
    </row>
    <row r="52" spans="2:89" x14ac:dyDescent="0.25">
      <c r="B52" s="97" t="s">
        <v>25</v>
      </c>
      <c r="C52" s="97"/>
      <c r="D52" s="97"/>
      <c r="E52" s="97"/>
      <c r="F52" s="97"/>
      <c r="G52" s="97"/>
      <c r="H52" s="97"/>
      <c r="I52" s="97"/>
      <c r="J52" s="97"/>
      <c r="K52" s="1"/>
      <c r="L52" s="1"/>
      <c r="M52" s="1"/>
      <c r="N52" s="1"/>
      <c r="O52" s="1"/>
      <c r="P52" s="1"/>
      <c r="Q52" s="97" t="s">
        <v>26</v>
      </c>
      <c r="R52" s="97"/>
      <c r="S52" s="97"/>
      <c r="T52" s="97"/>
      <c r="U52" s="97"/>
      <c r="V52" s="97"/>
      <c r="W52" s="97"/>
      <c r="X52" s="97"/>
      <c r="Y52" s="97"/>
      <c r="Z52" s="97"/>
      <c r="AA52" s="97"/>
      <c r="AB52" s="97"/>
      <c r="AC52" s="97"/>
      <c r="AD52" s="1"/>
      <c r="AE52" s="1"/>
      <c r="AF52" s="1"/>
      <c r="AG52" s="1"/>
      <c r="AH52" s="97" t="s">
        <v>27</v>
      </c>
      <c r="AI52" s="97"/>
      <c r="AJ52" s="97"/>
      <c r="AK52" s="97"/>
      <c r="AL52" s="97"/>
      <c r="AM52" s="97"/>
      <c r="AN52" s="97"/>
      <c r="AO52" s="97"/>
      <c r="AP52" s="97"/>
      <c r="AQ52" s="97"/>
      <c r="AR52" s="97"/>
      <c r="AS52" s="97"/>
      <c r="AT52" s="1"/>
      <c r="AU52" s="1"/>
      <c r="AV52" s="1"/>
      <c r="AW52" s="1"/>
      <c r="AX52" s="1"/>
      <c r="AY52" s="1"/>
      <c r="BE52" t="s">
        <v>40</v>
      </c>
      <c r="BG52" s="97" t="s">
        <v>25</v>
      </c>
      <c r="BH52" s="97"/>
      <c r="BI52" s="97"/>
      <c r="BJ52" s="97"/>
      <c r="BK52" s="81"/>
      <c r="BL52" s="97" t="s">
        <v>26</v>
      </c>
      <c r="BM52" s="97"/>
      <c r="BN52" s="97"/>
      <c r="BO52" s="97"/>
      <c r="BP52" s="97"/>
      <c r="BQ52" s="97"/>
      <c r="BR52" s="97"/>
      <c r="BS52" s="97"/>
      <c r="BT52" s="97"/>
      <c r="BU52" s="97"/>
      <c r="BV52" s="81"/>
      <c r="BW52" s="81"/>
      <c r="BX52" s="97" t="s">
        <v>27</v>
      </c>
      <c r="BY52" s="97"/>
      <c r="BZ52" s="97"/>
      <c r="CA52" s="97"/>
      <c r="CB52" s="97"/>
      <c r="CC52" s="97"/>
      <c r="CD52" s="97"/>
      <c r="CE52" s="97"/>
      <c r="CF52" s="97"/>
      <c r="CG52" s="81"/>
      <c r="CH52" s="81"/>
      <c r="CI52" s="81"/>
      <c r="CJ52" s="81"/>
      <c r="CK52" s="79" t="s">
        <v>39</v>
      </c>
    </row>
  </sheetData>
  <mergeCells count="54">
    <mergeCell ref="A41:B41"/>
    <mergeCell ref="AA6:AD6"/>
    <mergeCell ref="AE6:AH6"/>
    <mergeCell ref="A42:B42"/>
    <mergeCell ref="G6:J6"/>
    <mergeCell ref="C6:F6"/>
    <mergeCell ref="W6:Z6"/>
    <mergeCell ref="A6:A7"/>
    <mergeCell ref="A38:B38"/>
    <mergeCell ref="A39:B39"/>
    <mergeCell ref="A40:B40"/>
    <mergeCell ref="B6:B7"/>
    <mergeCell ref="BG39:BH39"/>
    <mergeCell ref="BG40:BH40"/>
    <mergeCell ref="A2:BF2"/>
    <mergeCell ref="A3:BF3"/>
    <mergeCell ref="A4:BF4"/>
    <mergeCell ref="A5:BF5"/>
    <mergeCell ref="AU6:AX6"/>
    <mergeCell ref="AY6:BB6"/>
    <mergeCell ref="BC6:BF6"/>
    <mergeCell ref="O6:R6"/>
    <mergeCell ref="S6:V6"/>
    <mergeCell ref="AI6:AL6"/>
    <mergeCell ref="AM6:AP6"/>
    <mergeCell ref="AQ6:AT6"/>
    <mergeCell ref="K6:N6"/>
    <mergeCell ref="BG2:CF2"/>
    <mergeCell ref="BM6:BP6"/>
    <mergeCell ref="BQ6:BT6"/>
    <mergeCell ref="BG6:BG7"/>
    <mergeCell ref="BH6:BH7"/>
    <mergeCell ref="BG38:BH38"/>
    <mergeCell ref="B51:J51"/>
    <mergeCell ref="B52:J52"/>
    <mergeCell ref="BG5:CF5"/>
    <mergeCell ref="BG4:CF4"/>
    <mergeCell ref="BG3:CF3"/>
    <mergeCell ref="BU6:BX6"/>
    <mergeCell ref="BY6:CB6"/>
    <mergeCell ref="CC6:CF6"/>
    <mergeCell ref="Q51:AC51"/>
    <mergeCell ref="Q52:AC52"/>
    <mergeCell ref="AH51:AS51"/>
    <mergeCell ref="AH52:AS52"/>
    <mergeCell ref="BG41:BH41"/>
    <mergeCell ref="BG42:BH42"/>
    <mergeCell ref="BI6:BL6"/>
    <mergeCell ref="BG51:BJ51"/>
    <mergeCell ref="BL51:BU51"/>
    <mergeCell ref="BX51:CF51"/>
    <mergeCell ref="BG52:BJ52"/>
    <mergeCell ref="BL52:BU52"/>
    <mergeCell ref="BX52:CF52"/>
  </mergeCells>
  <conditionalFormatting sqref="C8:BF37">
    <cfRule type="cellIs" dxfId="3" priority="3" operator="between">
      <formula>1</formula>
      <formula>50</formula>
    </cfRule>
    <cfRule type="cellIs" dxfId="2" priority="4" stopIfTrue="1" operator="between">
      <formula>1</formula>
      <formula>50</formula>
    </cfRule>
  </conditionalFormatting>
  <conditionalFormatting sqref="BI8:CF37">
    <cfRule type="cellIs" dxfId="1" priority="1" operator="between">
      <formula>1</formula>
      <formula>50</formula>
    </cfRule>
    <cfRule type="cellIs" dxfId="0" priority="2" stopIfTrue="1" operator="between">
      <formula>1</formula>
      <formula>50</formula>
    </cfRule>
  </conditionalFormatting>
  <pageMargins left="0.21249999999999999" right="0.25" top="0.46643518518518517" bottom="0.75" header="0.3" footer="0.3"/>
  <pageSetup paperSize="10000" scale="64" fitToWidth="2" orientation="landscape" horizontalDpi="0" verticalDpi="0" r:id="rId1"/>
  <colBreaks count="1" manualBreakCount="1">
    <brk id="58" max="1048575" man="1"/>
  </col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Central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Franz</dc:creator>
  <cp:lastModifiedBy>Franz Felix</cp:lastModifiedBy>
  <cp:lastPrinted>2017-03-31T12:42:37Z</cp:lastPrinted>
  <dcterms:created xsi:type="dcterms:W3CDTF">2017-03-29T15:31:37Z</dcterms:created>
  <dcterms:modified xsi:type="dcterms:W3CDTF">2025-11-13T16:09:35Z</dcterms:modified>
</cp:coreProperties>
</file>
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estion2025\Notas 2025\2doTRIM\BTH\"/>
    </mc:Choice>
  </mc:AlternateContent>
  <xr:revisionPtr revIDLastSave="0" documentId="13_ncr:1_{08D91E6E-F7FA-41DB-8B25-C85AE55BE4F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38" i="1" s="1"/>
  <c r="K42" i="1" s="1"/>
  <c r="K13" i="1"/>
  <c r="K12" i="1"/>
  <c r="K11" i="1"/>
  <c r="K10" i="1"/>
  <c r="K9" i="1"/>
  <c r="K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39" i="1" s="1"/>
  <c r="I11" i="1"/>
  <c r="I10" i="1"/>
  <c r="I9" i="1"/>
  <c r="I8" i="1"/>
  <c r="G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J41" i="1"/>
  <c r="H41" i="1"/>
  <c r="F41" i="1"/>
  <c r="J40" i="1"/>
  <c r="H40" i="1"/>
  <c r="F40" i="1"/>
  <c r="J39" i="1"/>
  <c r="H39" i="1"/>
  <c r="F39" i="1"/>
  <c r="J38" i="1"/>
  <c r="J42" i="1" s="1"/>
  <c r="H38" i="1"/>
  <c r="H42" i="1" s="1"/>
  <c r="F38" i="1"/>
  <c r="F42" i="1" s="1"/>
  <c r="D38" i="1"/>
  <c r="D42" i="1" s="1"/>
  <c r="D39" i="1"/>
  <c r="D40" i="1"/>
  <c r="D41" i="1"/>
  <c r="K41" i="1" l="1"/>
  <c r="K40" i="1"/>
  <c r="G41" i="1"/>
  <c r="I41" i="1"/>
  <c r="I40" i="1"/>
  <c r="N41" i="1"/>
  <c r="N38" i="1"/>
  <c r="N42" i="1" s="1"/>
  <c r="N39" i="1"/>
  <c r="N40" i="1"/>
  <c r="I38" i="1"/>
  <c r="I42" i="1" s="1"/>
  <c r="E40" i="1"/>
  <c r="E38" i="1"/>
  <c r="E42" i="1" s="1"/>
  <c r="G40" i="1"/>
  <c r="G38" i="1"/>
  <c r="G42" i="1" s="1"/>
  <c r="G39" i="1"/>
  <c r="E41" i="1"/>
  <c r="E39" i="1"/>
  <c r="K39" i="1"/>
</calcChain>
</file>

<file path=xl/sharedStrings.xml><?xml version="1.0" encoding="utf-8"?>
<sst xmlns="http://schemas.openxmlformats.org/spreadsheetml/2006/main" count="24" uniqueCount="15">
  <si>
    <t>Nº</t>
  </si>
  <si>
    <t>APELLIDOS Y NOMBRES</t>
  </si>
  <si>
    <t>CUADRO GENERAL DE NOTAS</t>
  </si>
  <si>
    <t>PROMEDIOS MATERIAS</t>
  </si>
  <si>
    <t>MEDIANAS GENERALES</t>
  </si>
  <si>
    <t>NOTA MAXIMA</t>
  </si>
  <si>
    <t>NOTA MINIMA</t>
  </si>
  <si>
    <t>Porcentaje de Reprobados (%)</t>
  </si>
  <si>
    <t>NT</t>
  </si>
  <si>
    <t>PO</t>
  </si>
  <si>
    <t>BACHILLERATO TÉCNICO</t>
  </si>
  <si>
    <t>Código</t>
  </si>
  <si>
    <t>T3</t>
  </si>
  <si>
    <t>ESPECIALIDAD</t>
  </si>
  <si>
    <t>NOTA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</si>
</sst>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0" xfId="0" applyAlignment="1"/>
    <xf numFmtId="0" fontId="25" fillId="0" borderId="9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6" fillId="0" borderId="0" xfId="0" applyFont="1"/>
    <xf numFmtId="0" fontId="25" fillId="0" borderId="12" xfId="0" applyFont="1" applyBorder="1" applyAlignment="1">
      <alignment horizontal="center" vertical="center"/>
    </xf>
    <xf numFmtId="0" fontId="27" fillId="23" borderId="13" xfId="0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/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23" borderId="21" xfId="0" applyFont="1" applyFill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21" xfId="0" applyFont="1" applyBorder="1"/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9" fillId="23" borderId="28" xfId="0" applyFont="1" applyFill="1" applyBorder="1" applyAlignment="1">
      <alignment horizontal="center" vertical="center"/>
    </xf>
    <xf numFmtId="0" fontId="28" fillId="0" borderId="21" xfId="0" applyFont="1" applyBorder="1" applyAlignment="1"/>
    <xf numFmtId="0" fontId="28" fillId="0" borderId="13" xfId="0" applyFont="1" applyBorder="1" applyAlignment="1">
      <alignment horizontal="center" vertical="center"/>
    </xf>
    <xf numFmtId="0" fontId="28" fillId="0" borderId="13" xfId="0" applyFont="1" applyBorder="1"/>
    <xf numFmtId="0" fontId="28" fillId="0" borderId="11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9" fillId="23" borderId="13" xfId="0" applyFont="1" applyFill="1" applyBorder="1" applyAlignment="1">
      <alignment horizontal="center" vertical="center"/>
    </xf>
    <xf numFmtId="0" fontId="30" fillId="23" borderId="15" xfId="0" applyFont="1" applyFill="1" applyBorder="1" applyAlignment="1">
      <alignment horizontal="center" wrapText="1"/>
    </xf>
    <xf numFmtId="1" fontId="28" fillId="0" borderId="23" xfId="0" applyNumberFormat="1" applyFont="1" applyBorder="1" applyAlignment="1">
      <alignment horizontal="center" vertical="center"/>
    </xf>
    <xf numFmtId="1" fontId="28" fillId="0" borderId="24" xfId="0" applyNumberFormat="1" applyFont="1" applyBorder="1" applyAlignment="1">
      <alignment horizontal="center" vertical="center"/>
    </xf>
    <xf numFmtId="1" fontId="28" fillId="0" borderId="25" xfId="0" applyNumberFormat="1" applyFont="1" applyBorder="1" applyAlignment="1">
      <alignment horizontal="center" vertical="center"/>
    </xf>
    <xf numFmtId="1" fontId="28" fillId="0" borderId="26" xfId="0" applyNumberFormat="1" applyFont="1" applyBorder="1" applyAlignment="1">
      <alignment horizontal="center" vertical="center"/>
    </xf>
    <xf numFmtId="1" fontId="29" fillId="0" borderId="25" xfId="0" applyNumberFormat="1" applyFont="1" applyBorder="1" applyAlignment="1">
      <alignment horizontal="center" vertical="center"/>
    </xf>
    <xf numFmtId="1" fontId="29" fillId="0" borderId="24" xfId="0" applyNumberFormat="1" applyFont="1" applyBorder="1" applyAlignment="1">
      <alignment horizontal="center" vertical="center"/>
    </xf>
    <xf numFmtId="1" fontId="29" fillId="0" borderId="27" xfId="0" applyNumberFormat="1" applyFont="1" applyBorder="1" applyAlignment="1">
      <alignment horizontal="center" vertical="center"/>
    </xf>
    <xf numFmtId="1" fontId="29" fillId="23" borderId="21" xfId="0" applyNumberFormat="1" applyFont="1" applyFill="1" applyBorder="1" applyAlignment="1">
      <alignment horizontal="center" vertical="center"/>
    </xf>
    <xf numFmtId="1" fontId="28" fillId="0" borderId="11" xfId="0" applyNumberFormat="1" applyFont="1" applyBorder="1" applyAlignment="1">
      <alignment horizontal="center" vertical="center"/>
    </xf>
    <xf numFmtId="1" fontId="28" fillId="0" borderId="10" xfId="0" applyNumberFormat="1" applyFont="1" applyBorder="1" applyAlignment="1">
      <alignment horizontal="center" vertical="center"/>
    </xf>
    <xf numFmtId="1" fontId="28" fillId="0" borderId="9" xfId="0" applyNumberFormat="1" applyFont="1" applyBorder="1" applyAlignment="1">
      <alignment horizontal="center" vertical="center"/>
    </xf>
    <xf numFmtId="1" fontId="28" fillId="0" borderId="29" xfId="0" applyNumberFormat="1" applyFont="1" applyBorder="1" applyAlignment="1">
      <alignment horizontal="center" vertical="center"/>
    </xf>
    <xf numFmtId="1" fontId="29" fillId="0" borderId="9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1" fontId="29" fillId="23" borderId="13" xfId="0" applyNumberFormat="1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22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4" xfId="0" applyFont="1" applyBorder="1" applyAlignment="1">
      <alignment horizontal="center" vertical="center"/>
    </xf>
    <xf numFmtId="0" fontId="28" fillId="0" borderId="35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0" fontId="28" fillId="0" borderId="39" xfId="0" applyFont="1" applyBorder="1" applyAlignment="1">
      <alignment horizontal="center" vertical="center"/>
    </xf>
    <xf numFmtId="1" fontId="29" fillId="0" borderId="22" xfId="0" applyNumberFormat="1" applyFont="1" applyBorder="1" applyAlignment="1">
      <alignment horizontal="center" vertical="center"/>
    </xf>
    <xf numFmtId="1" fontId="29" fillId="0" borderId="33" xfId="0" applyNumberFormat="1" applyFont="1" applyBorder="1" applyAlignment="1">
      <alignment horizontal="center" vertical="center"/>
    </xf>
    <xf numFmtId="1" fontId="29" fillId="0" borderId="34" xfId="0" applyNumberFormat="1" applyFont="1" applyBorder="1" applyAlignment="1">
      <alignment horizontal="center" vertical="center"/>
    </xf>
    <xf numFmtId="1" fontId="29" fillId="0" borderId="35" xfId="0" applyNumberFormat="1" applyFont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31" fillId="0" borderId="36" xfId="0" applyFont="1" applyBorder="1" applyAlignment="1">
      <alignment horizontal="center"/>
    </xf>
    <xf numFmtId="0" fontId="26" fillId="0" borderId="14" xfId="0" applyFont="1" applyBorder="1" applyAlignment="1">
      <alignment horizontal="center" wrapText="1"/>
    </xf>
    <xf numFmtId="0" fontId="26" fillId="0" borderId="37" xfId="0" applyFont="1" applyBorder="1" applyAlignment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 wrapText="1"/>
    </xf>
    <xf numFmtId="0" fontId="29" fillId="0" borderId="31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wrapText="1"/>
    </xf>
    <xf numFmtId="0" fontId="26" fillId="0" borderId="17" xfId="0" applyFont="1" applyBorder="1" applyAlignment="1">
      <alignment horizontal="center"/>
    </xf>
    <xf numFmtId="0" fontId="26" fillId="0" borderId="18" xfId="0" applyFont="1" applyBorder="1" applyAlignment="1">
      <alignment horizontal="center" wrapText="1"/>
    </xf>
    <xf numFmtId="0" fontId="26" fillId="0" borderId="19" xfId="0" applyFont="1" applyBorder="1" applyAlignment="1">
      <alignment horizontal="center"/>
    </xf>
    <xf numFmtId="0" fontId="26" fillId="0" borderId="32" xfId="0" applyFont="1" applyBorder="1" applyAlignment="1">
      <alignment horizontal="center"/>
    </xf>
    <xf numFmtId="0" fontId="30" fillId="23" borderId="30" xfId="0" applyFont="1" applyFill="1" applyBorder="1" applyAlignment="1">
      <alignment horizontal="center"/>
    </xf>
    <xf numFmtId="0" fontId="30" fillId="23" borderId="31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8" fillId="0" borderId="14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4" xfId="0" applyFont="1" applyBorder="1" applyAlignment="1">
      <alignment horizontal="center" vertical="center"/>
    </xf>
    <xf numFmtId="0" fontId="28" fillId="0" borderId="35" xfId="0" applyFont="1" applyBorder="1" applyAlignment="1">
      <alignment horizontal="center" vertic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0</xdr:row>
      <xdr:rowOff>0</xdr:rowOff>
    </xdr:from>
    <xdr:to>
      <xdr:col>2</xdr:col>
      <xdr:colOff>878417</xdr:colOff>
      <xdr:row>4</xdr:row>
      <xdr:rowOff>19050</xdr:rowOff>
    </xdr:to>
    <xdr:pic>
      <xdr:nvPicPr>
        <xdr:cNvPr id="1029" name="1 Imagen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0"/>
          <a:ext cx="1257300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U52"/>
  <sheetViews>
    <sheetView tabSelected="1" view="pageLayout" zoomScale="90" zoomScaleNormal="100" zoomScalePageLayoutView="90" workbookViewId="0">
      <selection activeCell="D15" sqref="D15"/>
    </sheetView>
  </sheetViews>
  <sheetFormatPr baseColWidth="10" defaultRowHeight="15" x14ac:dyDescent="0.25"/>
  <cols>
    <col min="1" max="1" width="7.140625" customWidth="1"/>
    <col min="2" max="2" width="3.140625" customWidth="1"/>
    <col min="3" max="3" width="33.42578125" customWidth="1"/>
    <col min="4" max="13" width="5.42578125" customWidth="1"/>
    <col min="14" max="14" width="9" customWidth="1"/>
    <col min="15" max="15" width="21.7109375" customWidth="1"/>
    <col min="16" max="16" width="1.140625" customWidth="1"/>
    <col min="17" max="17" width="22.5703125" customWidth="1"/>
    <col min="18" max="27" width="3.85546875" customWidth="1"/>
  </cols>
  <sheetData>
    <row r="2" spans="1:21" x14ac:dyDescent="0.25">
      <c r="B2" s="62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</row>
    <row r="3" spans="1:21" x14ac:dyDescent="0.25">
      <c r="B3" s="63" t="s">
        <v>10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</row>
    <row r="4" spans="1:21" x14ac:dyDescent="0.25"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</row>
    <row r="5" spans="1:21" ht="15.75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</row>
    <row r="6" spans="1:21" ht="34.5" customHeight="1" x14ac:dyDescent="0.25">
      <c r="A6" s="77" t="s">
        <v>11</v>
      </c>
      <c r="B6" s="68" t="s">
        <v>0</v>
      </c>
      <c r="C6" s="70" t="s">
        <v>1</v>
      </c>
      <c r="D6" s="72"/>
      <c r="E6" s="73"/>
      <c r="F6" s="74"/>
      <c r="G6" s="75"/>
      <c r="H6" s="66"/>
      <c r="I6" s="67"/>
      <c r="J6" s="66" t="s">
        <v>13</v>
      </c>
      <c r="K6" s="67"/>
      <c r="L6" s="66" t="s">
        <v>13</v>
      </c>
      <c r="M6" s="76"/>
      <c r="N6" s="32" t="s">
        <v>14</v>
      </c>
      <c r="O6" s="1"/>
      <c r="P6" s="1"/>
      <c r="Q6" s="1"/>
      <c r="R6" s="1"/>
      <c r="S6" s="1"/>
      <c r="T6" s="1"/>
      <c r="U6" s="1"/>
    </row>
    <row r="7" spans="1:21" x14ac:dyDescent="0.25">
      <c r="A7" s="78"/>
      <c r="B7" s="69"/>
      <c r="C7" s="71"/>
      <c r="D7" s="3" t="s">
        <v>8</v>
      </c>
      <c r="E7" s="5" t="s">
        <v>9</v>
      </c>
      <c r="F7" s="2" t="s">
        <v>8</v>
      </c>
      <c r="G7" s="5" t="s">
        <v>9</v>
      </c>
      <c r="H7" s="2" t="s">
        <v>8</v>
      </c>
      <c r="I7" s="5" t="s">
        <v>9</v>
      </c>
      <c r="J7" s="2" t="s">
        <v>8</v>
      </c>
      <c r="K7" s="5" t="s">
        <v>9</v>
      </c>
      <c r="L7" s="2" t="s">
        <v>8</v>
      </c>
      <c r="M7" s="55" t="s">
        <v>9</v>
      </c>
      <c r="N7" s="6" t="s">
        <v>12</v>
      </c>
    </row>
    <row r="8" spans="1:21" ht="19.5" customHeight="1" x14ac:dyDescent="0.25">
      <c r="A8" s="14"/>
      <c r="B8" s="7">
        <v>1</v>
      </c>
      <c r="C8" s="8"/>
      <c r="D8" s="9"/>
      <c r="E8" s="49" t="str">
        <f>IF(D8&lt;&gt;"",ROUND(D8*0.25,0),"")</f>
        <v/>
      </c>
      <c r="F8" s="11"/>
      <c r="G8" s="12" t="str">
        <f>IF(F8&lt;&gt;"",ROUND(F8*0.25,0),"")</f>
        <v/>
      </c>
      <c r="H8" s="11"/>
      <c r="I8" s="10" t="str">
        <f t="shared" ref="I8:K37" si="0">IF(H8&lt;&gt;"",ROUND(H8*0.25,0),"")</f>
        <v/>
      </c>
      <c r="J8" s="11"/>
      <c r="K8" s="13" t="str">
        <f t="shared" si="0"/>
        <v/>
      </c>
      <c r="L8" s="56"/>
      <c r="M8" s="57"/>
      <c r="N8" s="14" t="str">
        <f>IF(E8&lt;&gt;"",IF(L8="",E8+G8+I8+K8,E8+G8+I8+K8+M8),"")</f>
        <v/>
      </c>
    </row>
    <row r="9" spans="1:21" ht="19.5" customHeight="1" x14ac:dyDescent="0.25">
      <c r="A9" s="14"/>
      <c r="B9" s="15">
        <v>2</v>
      </c>
      <c r="C9" s="16"/>
      <c r="D9" s="17"/>
      <c r="E9" s="18" t="str">
        <f t="shared" ref="E9:E37" si="1">IF(D9&lt;&gt;"",ROUND(D9*0.25,0),"")</f>
        <v/>
      </c>
      <c r="F9" s="19"/>
      <c r="G9" s="20" t="str">
        <f t="shared" ref="G9:G37" si="2">IF(F9&lt;&gt;"",ROUND(F9*0.25,0),"")</f>
        <v/>
      </c>
      <c r="H9" s="19"/>
      <c r="I9" s="18" t="str">
        <f t="shared" si="0"/>
        <v/>
      </c>
      <c r="J9" s="19"/>
      <c r="K9" s="21" t="str">
        <f t="shared" si="0"/>
        <v/>
      </c>
      <c r="L9" s="51"/>
      <c r="M9" s="52"/>
      <c r="N9" s="14" t="str">
        <f t="shared" ref="N9:N37" si="3">IF(E9&lt;&gt;"",IF(L9="",E9+G9+I9+K9,E9+G9+I9+K9+M9),"")</f>
        <v/>
      </c>
    </row>
    <row r="10" spans="1:21" ht="19.5" customHeight="1" x14ac:dyDescent="0.25">
      <c r="A10" s="14"/>
      <c r="B10" s="15">
        <v>3</v>
      </c>
      <c r="C10" s="16"/>
      <c r="D10" s="17"/>
      <c r="E10" s="18" t="str">
        <f t="shared" si="1"/>
        <v/>
      </c>
      <c r="F10" s="19"/>
      <c r="G10" s="20" t="str">
        <f t="shared" si="2"/>
        <v/>
      </c>
      <c r="H10" s="19"/>
      <c r="I10" s="18" t="str">
        <f t="shared" si="0"/>
        <v/>
      </c>
      <c r="J10" s="19"/>
      <c r="K10" s="21" t="str">
        <f t="shared" si="0"/>
        <v/>
      </c>
      <c r="L10" s="51"/>
      <c r="M10" s="52"/>
      <c r="N10" s="14" t="str">
        <f t="shared" si="3"/>
        <v/>
      </c>
    </row>
    <row r="11" spans="1:21" ht="19.5" customHeight="1" x14ac:dyDescent="0.25">
      <c r="A11" s="14"/>
      <c r="B11" s="15">
        <v>4</v>
      </c>
      <c r="C11" s="16"/>
      <c r="D11" s="17"/>
      <c r="E11" s="18" t="str">
        <f t="shared" si="1"/>
        <v/>
      </c>
      <c r="F11" s="19"/>
      <c r="G11" s="20" t="str">
        <f t="shared" si="2"/>
        <v/>
      </c>
      <c r="H11" s="19"/>
      <c r="I11" s="18" t="str">
        <f t="shared" si="0"/>
        <v/>
      </c>
      <c r="J11" s="19"/>
      <c r="K11" s="21" t="str">
        <f t="shared" si="0"/>
        <v/>
      </c>
      <c r="L11" s="51"/>
      <c r="M11" s="52"/>
      <c r="N11" s="14" t="str">
        <f t="shared" si="3"/>
        <v/>
      </c>
    </row>
    <row r="12" spans="1:21" ht="19.5" customHeight="1" x14ac:dyDescent="0.25">
      <c r="A12" s="14"/>
      <c r="B12" s="15">
        <v>5</v>
      </c>
      <c r="C12" s="16"/>
      <c r="D12" s="17"/>
      <c r="E12" s="18" t="str">
        <f t="shared" si="1"/>
        <v/>
      </c>
      <c r="F12" s="19"/>
      <c r="G12" s="20" t="str">
        <f t="shared" si="2"/>
        <v/>
      </c>
      <c r="H12" s="19"/>
      <c r="I12" s="18" t="str">
        <f t="shared" si="0"/>
        <v/>
      </c>
      <c r="J12" s="19"/>
      <c r="K12" s="21" t="str">
        <f t="shared" si="0"/>
        <v/>
      </c>
      <c r="L12" s="51"/>
      <c r="M12" s="52"/>
      <c r="N12" s="14" t="str">
        <f t="shared" si="3"/>
        <v/>
      </c>
    </row>
    <row r="13" spans="1:21" ht="19.5" customHeight="1" x14ac:dyDescent="0.25">
      <c r="A13" s="22"/>
      <c r="B13" s="15">
        <v>6</v>
      </c>
      <c r="C13" s="16"/>
      <c r="D13" s="17"/>
      <c r="E13" s="18" t="str">
        <f t="shared" si="1"/>
        <v/>
      </c>
      <c r="F13" s="19"/>
      <c r="G13" s="20" t="str">
        <f t="shared" si="2"/>
        <v/>
      </c>
      <c r="H13" s="19"/>
      <c r="I13" s="18" t="str">
        <f t="shared" si="0"/>
        <v/>
      </c>
      <c r="J13" s="19"/>
      <c r="K13" s="21" t="str">
        <f t="shared" si="0"/>
        <v/>
      </c>
      <c r="L13" s="56"/>
      <c r="M13" s="57"/>
      <c r="N13" s="22" t="str">
        <f t="shared" si="3"/>
        <v/>
      </c>
    </row>
    <row r="14" spans="1:21" ht="19.5" customHeight="1" x14ac:dyDescent="0.25">
      <c r="A14" s="14"/>
      <c r="B14" s="15">
        <v>7</v>
      </c>
      <c r="C14" s="16"/>
      <c r="D14" s="17"/>
      <c r="E14" s="18" t="str">
        <f t="shared" si="1"/>
        <v/>
      </c>
      <c r="F14" s="19"/>
      <c r="G14" s="20" t="str">
        <f t="shared" si="2"/>
        <v/>
      </c>
      <c r="H14" s="19"/>
      <c r="I14" s="18" t="str">
        <f t="shared" si="0"/>
        <v/>
      </c>
      <c r="J14" s="19"/>
      <c r="K14" s="21" t="str">
        <f t="shared" si="0"/>
        <v/>
      </c>
      <c r="L14" s="51"/>
      <c r="M14" s="52"/>
      <c r="N14" s="14" t="str">
        <f t="shared" si="3"/>
        <v/>
      </c>
    </row>
    <row r="15" spans="1:21" ht="19.5" customHeight="1" x14ac:dyDescent="0.25">
      <c r="A15" s="14"/>
      <c r="B15" s="15">
        <v>8</v>
      </c>
      <c r="C15" s="16"/>
      <c r="D15" s="17"/>
      <c r="E15" s="18" t="str">
        <f t="shared" si="1"/>
        <v/>
      </c>
      <c r="F15" s="19"/>
      <c r="G15" s="20" t="str">
        <f t="shared" si="2"/>
        <v/>
      </c>
      <c r="H15" s="19"/>
      <c r="I15" s="18" t="str">
        <f t="shared" si="0"/>
        <v/>
      </c>
      <c r="J15" s="19"/>
      <c r="K15" s="21" t="str">
        <f t="shared" si="0"/>
        <v/>
      </c>
      <c r="L15" s="51"/>
      <c r="M15" s="52"/>
      <c r="N15" s="14" t="str">
        <f t="shared" si="3"/>
        <v/>
      </c>
    </row>
    <row r="16" spans="1:21" ht="19.5" customHeight="1" x14ac:dyDescent="0.25">
      <c r="A16" s="14"/>
      <c r="B16" s="15">
        <v>9</v>
      </c>
      <c r="C16" s="16"/>
      <c r="D16" s="17"/>
      <c r="E16" s="18" t="str">
        <f t="shared" si="1"/>
        <v/>
      </c>
      <c r="F16" s="19"/>
      <c r="G16" s="20" t="str">
        <f t="shared" si="2"/>
        <v/>
      </c>
      <c r="H16" s="19"/>
      <c r="I16" s="18" t="str">
        <f t="shared" si="0"/>
        <v/>
      </c>
      <c r="J16" s="19"/>
      <c r="K16" s="21" t="str">
        <f t="shared" si="0"/>
        <v/>
      </c>
      <c r="L16" s="51"/>
      <c r="M16" s="52"/>
      <c r="N16" s="14" t="str">
        <f t="shared" si="3"/>
        <v/>
      </c>
    </row>
    <row r="17" spans="1:14" ht="19.5" customHeight="1" x14ac:dyDescent="0.25">
      <c r="A17" s="14"/>
      <c r="B17" s="15">
        <v>10</v>
      </c>
      <c r="C17" s="16"/>
      <c r="D17" s="17"/>
      <c r="E17" s="18" t="str">
        <f t="shared" si="1"/>
        <v/>
      </c>
      <c r="F17" s="19"/>
      <c r="G17" s="20" t="str">
        <f t="shared" si="2"/>
        <v/>
      </c>
      <c r="H17" s="19"/>
      <c r="I17" s="18" t="str">
        <f t="shared" si="0"/>
        <v/>
      </c>
      <c r="J17" s="19"/>
      <c r="K17" s="21" t="str">
        <f t="shared" si="0"/>
        <v/>
      </c>
      <c r="L17" s="51"/>
      <c r="M17" s="52"/>
      <c r="N17" s="14" t="str">
        <f t="shared" si="3"/>
        <v/>
      </c>
    </row>
    <row r="18" spans="1:14" ht="19.5" customHeight="1" x14ac:dyDescent="0.25">
      <c r="A18" s="22"/>
      <c r="B18" s="15">
        <v>11</v>
      </c>
      <c r="C18" s="16"/>
      <c r="D18" s="17"/>
      <c r="E18" s="18" t="str">
        <f t="shared" si="1"/>
        <v/>
      </c>
      <c r="F18" s="19"/>
      <c r="G18" s="20" t="str">
        <f t="shared" si="2"/>
        <v/>
      </c>
      <c r="H18" s="19"/>
      <c r="I18" s="18" t="str">
        <f t="shared" si="0"/>
        <v/>
      </c>
      <c r="J18" s="19"/>
      <c r="K18" s="21" t="str">
        <f t="shared" si="0"/>
        <v/>
      </c>
      <c r="L18" s="56"/>
      <c r="M18" s="57"/>
      <c r="N18" s="22" t="str">
        <f t="shared" si="3"/>
        <v/>
      </c>
    </row>
    <row r="19" spans="1:14" ht="19.5" customHeight="1" x14ac:dyDescent="0.25">
      <c r="A19" s="14"/>
      <c r="B19" s="15">
        <v>12</v>
      </c>
      <c r="C19" s="16"/>
      <c r="D19" s="17"/>
      <c r="E19" s="18" t="str">
        <f t="shared" si="1"/>
        <v/>
      </c>
      <c r="F19" s="19"/>
      <c r="G19" s="20" t="str">
        <f t="shared" si="2"/>
        <v/>
      </c>
      <c r="H19" s="19"/>
      <c r="I19" s="18" t="str">
        <f t="shared" si="0"/>
        <v/>
      </c>
      <c r="J19" s="19"/>
      <c r="K19" s="21" t="str">
        <f t="shared" si="0"/>
        <v/>
      </c>
      <c r="L19" s="51"/>
      <c r="M19" s="52"/>
      <c r="N19" s="14" t="str">
        <f t="shared" si="3"/>
        <v/>
      </c>
    </row>
    <row r="20" spans="1:14" ht="19.5" customHeight="1" x14ac:dyDescent="0.25">
      <c r="A20" s="14"/>
      <c r="B20" s="15">
        <v>13</v>
      </c>
      <c r="C20" s="16"/>
      <c r="D20" s="17"/>
      <c r="E20" s="18" t="str">
        <f t="shared" si="1"/>
        <v/>
      </c>
      <c r="F20" s="19"/>
      <c r="G20" s="20" t="str">
        <f t="shared" si="2"/>
        <v/>
      </c>
      <c r="H20" s="19"/>
      <c r="I20" s="18" t="str">
        <f t="shared" si="0"/>
        <v/>
      </c>
      <c r="J20" s="19"/>
      <c r="K20" s="21" t="str">
        <f t="shared" si="0"/>
        <v/>
      </c>
      <c r="L20" s="51"/>
      <c r="M20" s="52"/>
      <c r="N20" s="14" t="str">
        <f t="shared" si="3"/>
        <v/>
      </c>
    </row>
    <row r="21" spans="1:14" ht="19.5" customHeight="1" x14ac:dyDescent="0.25">
      <c r="A21" s="14"/>
      <c r="B21" s="15">
        <v>14</v>
      </c>
      <c r="C21" s="16"/>
      <c r="D21" s="17"/>
      <c r="E21" s="18" t="str">
        <f t="shared" si="1"/>
        <v/>
      </c>
      <c r="F21" s="19"/>
      <c r="G21" s="20" t="str">
        <f t="shared" si="2"/>
        <v/>
      </c>
      <c r="H21" s="19"/>
      <c r="I21" s="18" t="str">
        <f t="shared" si="0"/>
        <v/>
      </c>
      <c r="J21" s="19"/>
      <c r="K21" s="21" t="str">
        <f t="shared" si="0"/>
        <v/>
      </c>
      <c r="L21" s="51"/>
      <c r="M21" s="52"/>
      <c r="N21" s="14" t="str">
        <f t="shared" si="3"/>
        <v/>
      </c>
    </row>
    <row r="22" spans="1:14" ht="19.5" customHeight="1" x14ac:dyDescent="0.25">
      <c r="A22" s="14"/>
      <c r="B22" s="15">
        <v>15</v>
      </c>
      <c r="C22" s="16"/>
      <c r="D22" s="17"/>
      <c r="E22" s="18" t="str">
        <f t="shared" si="1"/>
        <v/>
      </c>
      <c r="F22" s="19"/>
      <c r="G22" s="20" t="str">
        <f t="shared" si="2"/>
        <v/>
      </c>
      <c r="H22" s="19"/>
      <c r="I22" s="18" t="str">
        <f t="shared" si="0"/>
        <v/>
      </c>
      <c r="J22" s="19"/>
      <c r="K22" s="21" t="str">
        <f t="shared" si="0"/>
        <v/>
      </c>
      <c r="L22" s="51"/>
      <c r="M22" s="52"/>
      <c r="N22" s="14" t="str">
        <f t="shared" si="3"/>
        <v/>
      </c>
    </row>
    <row r="23" spans="1:14" ht="19.5" customHeight="1" x14ac:dyDescent="0.25">
      <c r="A23" s="22"/>
      <c r="B23" s="15">
        <v>16</v>
      </c>
      <c r="C23" s="16"/>
      <c r="D23" s="17"/>
      <c r="E23" s="18" t="str">
        <f t="shared" si="1"/>
        <v/>
      </c>
      <c r="F23" s="19"/>
      <c r="G23" s="20" t="str">
        <f t="shared" si="2"/>
        <v/>
      </c>
      <c r="H23" s="19"/>
      <c r="I23" s="18" t="str">
        <f t="shared" si="0"/>
        <v/>
      </c>
      <c r="J23" s="19"/>
      <c r="K23" s="21" t="str">
        <f t="shared" si="0"/>
        <v/>
      </c>
      <c r="L23" s="56"/>
      <c r="M23" s="57"/>
      <c r="N23" s="22" t="str">
        <f t="shared" si="3"/>
        <v/>
      </c>
    </row>
    <row r="24" spans="1:14" ht="19.5" customHeight="1" x14ac:dyDescent="0.25">
      <c r="A24" s="14"/>
      <c r="B24" s="15">
        <v>17</v>
      </c>
      <c r="C24" s="16"/>
      <c r="D24" s="17"/>
      <c r="E24" s="18" t="str">
        <f t="shared" si="1"/>
        <v/>
      </c>
      <c r="F24" s="19"/>
      <c r="G24" s="20" t="str">
        <f t="shared" si="2"/>
        <v/>
      </c>
      <c r="H24" s="19"/>
      <c r="I24" s="18" t="str">
        <f t="shared" si="0"/>
        <v/>
      </c>
      <c r="J24" s="19"/>
      <c r="K24" s="21" t="str">
        <f t="shared" si="0"/>
        <v/>
      </c>
      <c r="L24" s="51"/>
      <c r="M24" s="52"/>
      <c r="N24" s="14" t="str">
        <f t="shared" si="3"/>
        <v/>
      </c>
    </row>
    <row r="25" spans="1:14" ht="19.5" customHeight="1" x14ac:dyDescent="0.25">
      <c r="A25" s="14"/>
      <c r="B25" s="15">
        <v>18</v>
      </c>
      <c r="C25" s="16"/>
      <c r="D25" s="17"/>
      <c r="E25" s="18" t="str">
        <f t="shared" si="1"/>
        <v/>
      </c>
      <c r="F25" s="19"/>
      <c r="G25" s="20" t="str">
        <f t="shared" si="2"/>
        <v/>
      </c>
      <c r="H25" s="19"/>
      <c r="I25" s="18" t="str">
        <f t="shared" si="0"/>
        <v/>
      </c>
      <c r="J25" s="19"/>
      <c r="K25" s="21" t="str">
        <f t="shared" si="0"/>
        <v/>
      </c>
      <c r="L25" s="51"/>
      <c r="M25" s="52"/>
      <c r="N25" s="14" t="str">
        <f t="shared" si="3"/>
        <v/>
      </c>
    </row>
    <row r="26" spans="1:14" ht="19.5" customHeight="1" x14ac:dyDescent="0.25">
      <c r="A26" s="14"/>
      <c r="B26" s="15">
        <v>19</v>
      </c>
      <c r="C26" s="23"/>
      <c r="D26" s="17"/>
      <c r="E26" s="18" t="str">
        <f t="shared" si="1"/>
        <v/>
      </c>
      <c r="F26" s="19"/>
      <c r="G26" s="20" t="str">
        <f t="shared" si="2"/>
        <v/>
      </c>
      <c r="H26" s="19"/>
      <c r="I26" s="18" t="str">
        <f t="shared" si="0"/>
        <v/>
      </c>
      <c r="J26" s="19"/>
      <c r="K26" s="21" t="str">
        <f t="shared" si="0"/>
        <v/>
      </c>
      <c r="L26" s="51"/>
      <c r="M26" s="52"/>
      <c r="N26" s="14" t="str">
        <f t="shared" si="3"/>
        <v/>
      </c>
    </row>
    <row r="27" spans="1:14" ht="19.5" customHeight="1" x14ac:dyDescent="0.25">
      <c r="A27" s="14"/>
      <c r="B27" s="15">
        <v>20</v>
      </c>
      <c r="C27" s="16"/>
      <c r="D27" s="17"/>
      <c r="E27" s="18" t="str">
        <f t="shared" si="1"/>
        <v/>
      </c>
      <c r="F27" s="19"/>
      <c r="G27" s="20" t="str">
        <f t="shared" si="2"/>
        <v/>
      </c>
      <c r="H27" s="19"/>
      <c r="I27" s="18" t="str">
        <f t="shared" si="0"/>
        <v/>
      </c>
      <c r="J27" s="19"/>
      <c r="K27" s="21" t="str">
        <f t="shared" si="0"/>
        <v/>
      </c>
      <c r="L27" s="51"/>
      <c r="M27" s="52"/>
      <c r="N27" s="14" t="str">
        <f t="shared" si="3"/>
        <v/>
      </c>
    </row>
    <row r="28" spans="1:14" ht="19.5" customHeight="1" x14ac:dyDescent="0.25">
      <c r="A28" s="22"/>
      <c r="B28" s="15">
        <v>21</v>
      </c>
      <c r="C28" s="16"/>
      <c r="D28" s="17"/>
      <c r="E28" s="18" t="str">
        <f t="shared" si="1"/>
        <v/>
      </c>
      <c r="F28" s="19"/>
      <c r="G28" s="20" t="str">
        <f t="shared" si="2"/>
        <v/>
      </c>
      <c r="H28" s="19"/>
      <c r="I28" s="18" t="str">
        <f t="shared" si="0"/>
        <v/>
      </c>
      <c r="J28" s="19"/>
      <c r="K28" s="21" t="str">
        <f t="shared" si="0"/>
        <v/>
      </c>
      <c r="L28" s="56"/>
      <c r="M28" s="57"/>
      <c r="N28" s="22" t="str">
        <f t="shared" si="3"/>
        <v/>
      </c>
    </row>
    <row r="29" spans="1:14" ht="19.5" customHeight="1" x14ac:dyDescent="0.25">
      <c r="A29" s="14"/>
      <c r="B29" s="15">
        <v>22</v>
      </c>
      <c r="C29" s="16"/>
      <c r="D29" s="17"/>
      <c r="E29" s="18" t="str">
        <f t="shared" si="1"/>
        <v/>
      </c>
      <c r="F29" s="19"/>
      <c r="G29" s="20" t="str">
        <f t="shared" si="2"/>
        <v/>
      </c>
      <c r="H29" s="19"/>
      <c r="I29" s="18" t="str">
        <f t="shared" si="0"/>
        <v/>
      </c>
      <c r="J29" s="19"/>
      <c r="K29" s="21" t="str">
        <f t="shared" si="0"/>
        <v/>
      </c>
      <c r="L29" s="51"/>
      <c r="M29" s="52"/>
      <c r="N29" s="14" t="str">
        <f t="shared" si="3"/>
        <v/>
      </c>
    </row>
    <row r="30" spans="1:14" ht="19.5" customHeight="1" x14ac:dyDescent="0.25">
      <c r="A30" s="14"/>
      <c r="B30" s="15">
        <v>23</v>
      </c>
      <c r="C30" s="16"/>
      <c r="D30" s="17"/>
      <c r="E30" s="18" t="str">
        <f t="shared" si="1"/>
        <v/>
      </c>
      <c r="F30" s="19"/>
      <c r="G30" s="20" t="str">
        <f t="shared" si="2"/>
        <v/>
      </c>
      <c r="H30" s="19"/>
      <c r="I30" s="18" t="str">
        <f t="shared" si="0"/>
        <v/>
      </c>
      <c r="J30" s="19"/>
      <c r="K30" s="21" t="str">
        <f t="shared" si="0"/>
        <v/>
      </c>
      <c r="L30" s="51"/>
      <c r="M30" s="52"/>
      <c r="N30" s="14" t="str">
        <f t="shared" si="3"/>
        <v/>
      </c>
    </row>
    <row r="31" spans="1:14" ht="19.5" customHeight="1" x14ac:dyDescent="0.25">
      <c r="A31" s="14"/>
      <c r="B31" s="15">
        <v>24</v>
      </c>
      <c r="C31" s="16"/>
      <c r="D31" s="17"/>
      <c r="E31" s="18" t="str">
        <f t="shared" si="1"/>
        <v/>
      </c>
      <c r="F31" s="19"/>
      <c r="G31" s="20" t="str">
        <f t="shared" si="2"/>
        <v/>
      </c>
      <c r="H31" s="19"/>
      <c r="I31" s="18" t="str">
        <f t="shared" si="0"/>
        <v/>
      </c>
      <c r="J31" s="19"/>
      <c r="K31" s="21" t="str">
        <f t="shared" si="0"/>
        <v/>
      </c>
      <c r="L31" s="51"/>
      <c r="M31" s="52"/>
      <c r="N31" s="14" t="str">
        <f t="shared" si="3"/>
        <v/>
      </c>
    </row>
    <row r="32" spans="1:14" ht="19.5" customHeight="1" x14ac:dyDescent="0.25">
      <c r="A32" s="14"/>
      <c r="B32" s="15">
        <v>25</v>
      </c>
      <c r="C32" s="16"/>
      <c r="D32" s="17"/>
      <c r="E32" s="18" t="str">
        <f t="shared" si="1"/>
        <v/>
      </c>
      <c r="F32" s="19"/>
      <c r="G32" s="20" t="str">
        <f t="shared" si="2"/>
        <v/>
      </c>
      <c r="H32" s="19"/>
      <c r="I32" s="18" t="str">
        <f t="shared" si="0"/>
        <v/>
      </c>
      <c r="J32" s="19"/>
      <c r="K32" s="21" t="str">
        <f t="shared" si="0"/>
        <v/>
      </c>
      <c r="L32" s="51"/>
      <c r="M32" s="52"/>
      <c r="N32" s="14" t="str">
        <f t="shared" si="3"/>
        <v/>
      </c>
    </row>
    <row r="33" spans="1:14" ht="19.5" customHeight="1" x14ac:dyDescent="0.25">
      <c r="A33" s="22"/>
      <c r="B33" s="15">
        <v>26</v>
      </c>
      <c r="C33" s="16"/>
      <c r="D33" s="17"/>
      <c r="E33" s="18" t="str">
        <f t="shared" si="1"/>
        <v/>
      </c>
      <c r="F33" s="19"/>
      <c r="G33" s="20" t="str">
        <f t="shared" si="2"/>
        <v/>
      </c>
      <c r="H33" s="19"/>
      <c r="I33" s="18" t="str">
        <f t="shared" si="0"/>
        <v/>
      </c>
      <c r="J33" s="19"/>
      <c r="K33" s="21" t="str">
        <f t="shared" si="0"/>
        <v/>
      </c>
      <c r="L33" s="56"/>
      <c r="M33" s="57"/>
      <c r="N33" s="22" t="str">
        <f t="shared" si="3"/>
        <v/>
      </c>
    </row>
    <row r="34" spans="1:14" ht="19.5" customHeight="1" x14ac:dyDescent="0.25">
      <c r="A34" s="14"/>
      <c r="B34" s="15">
        <v>27</v>
      </c>
      <c r="C34" s="16"/>
      <c r="D34" s="17"/>
      <c r="E34" s="18" t="str">
        <f t="shared" si="1"/>
        <v/>
      </c>
      <c r="F34" s="19"/>
      <c r="G34" s="20" t="str">
        <f t="shared" si="2"/>
        <v/>
      </c>
      <c r="H34" s="19"/>
      <c r="I34" s="18" t="str">
        <f t="shared" si="0"/>
        <v/>
      </c>
      <c r="J34" s="19"/>
      <c r="K34" s="21" t="str">
        <f t="shared" si="0"/>
        <v/>
      </c>
      <c r="L34" s="51"/>
      <c r="M34" s="52"/>
      <c r="N34" s="14" t="str">
        <f t="shared" si="3"/>
        <v/>
      </c>
    </row>
    <row r="35" spans="1:14" ht="19.5" customHeight="1" x14ac:dyDescent="0.25">
      <c r="A35" s="14"/>
      <c r="B35" s="15">
        <v>28</v>
      </c>
      <c r="C35" s="16"/>
      <c r="D35" s="17"/>
      <c r="E35" s="18" t="str">
        <f t="shared" si="1"/>
        <v/>
      </c>
      <c r="F35" s="19"/>
      <c r="G35" s="20" t="str">
        <f t="shared" si="2"/>
        <v/>
      </c>
      <c r="H35" s="19"/>
      <c r="I35" s="18" t="str">
        <f t="shared" si="0"/>
        <v/>
      </c>
      <c r="J35" s="19"/>
      <c r="K35" s="21" t="str">
        <f t="shared" si="0"/>
        <v/>
      </c>
      <c r="L35" s="51"/>
      <c r="M35" s="52"/>
      <c r="N35" s="14" t="str">
        <f t="shared" si="3"/>
        <v/>
      </c>
    </row>
    <row r="36" spans="1:14" ht="19.5" customHeight="1" x14ac:dyDescent="0.25">
      <c r="A36" s="14"/>
      <c r="B36" s="15">
        <v>29</v>
      </c>
      <c r="C36" s="16"/>
      <c r="D36" s="17"/>
      <c r="E36" s="18" t="str">
        <f t="shared" si="1"/>
        <v/>
      </c>
      <c r="F36" s="19"/>
      <c r="G36" s="20" t="str">
        <f t="shared" si="2"/>
        <v/>
      </c>
      <c r="H36" s="19"/>
      <c r="I36" s="18" t="str">
        <f t="shared" si="0"/>
        <v/>
      </c>
      <c r="J36" s="19"/>
      <c r="K36" s="21" t="str">
        <f t="shared" si="0"/>
        <v/>
      </c>
      <c r="L36" s="51"/>
      <c r="M36" s="52"/>
      <c r="N36" s="14" t="str">
        <f t="shared" si="3"/>
        <v/>
      </c>
    </row>
    <row r="37" spans="1:14" ht="19.5" customHeight="1" x14ac:dyDescent="0.25">
      <c r="A37" s="31"/>
      <c r="B37" s="24">
        <v>30</v>
      </c>
      <c r="C37" s="25"/>
      <c r="D37" s="26"/>
      <c r="E37" s="27" t="str">
        <f t="shared" si="1"/>
        <v/>
      </c>
      <c r="F37" s="28"/>
      <c r="G37" s="29" t="str">
        <f t="shared" si="2"/>
        <v/>
      </c>
      <c r="H37" s="28"/>
      <c r="I37" s="27" t="str">
        <f t="shared" si="0"/>
        <v/>
      </c>
      <c r="J37" s="28"/>
      <c r="K37" s="30" t="str">
        <f t="shared" si="0"/>
        <v/>
      </c>
      <c r="L37" s="53"/>
      <c r="M37" s="54"/>
      <c r="N37" s="31" t="str">
        <f t="shared" si="3"/>
        <v/>
      </c>
    </row>
    <row r="38" spans="1:14" ht="19.5" customHeight="1" x14ac:dyDescent="0.25">
      <c r="B38" s="81" t="s">
        <v>3</v>
      </c>
      <c r="C38" s="82"/>
      <c r="D38" s="33" t="str">
        <f>IF(SUM(D8:D37)=0,"",AVERAGE(D8:D37))</f>
        <v/>
      </c>
      <c r="E38" s="34" t="str">
        <f t="shared" ref="E38:N38" si="4">IF(SUM(E8:E37)=0,"",AVERAGE(E8:E37))</f>
        <v/>
      </c>
      <c r="F38" s="35" t="str">
        <f t="shared" si="4"/>
        <v/>
      </c>
      <c r="G38" s="36" t="str">
        <f t="shared" si="4"/>
        <v/>
      </c>
      <c r="H38" s="37" t="str">
        <f t="shared" si="4"/>
        <v/>
      </c>
      <c r="I38" s="38" t="str">
        <f t="shared" si="4"/>
        <v/>
      </c>
      <c r="J38" s="37" t="str">
        <f t="shared" si="4"/>
        <v/>
      </c>
      <c r="K38" s="39" t="str">
        <f t="shared" si="4"/>
        <v/>
      </c>
      <c r="L38" s="58"/>
      <c r="M38" s="59"/>
      <c r="N38" s="40" t="str">
        <f t="shared" si="4"/>
        <v/>
      </c>
    </row>
    <row r="39" spans="1:14" ht="19.5" customHeight="1" x14ac:dyDescent="0.25">
      <c r="B39" s="83" t="s">
        <v>4</v>
      </c>
      <c r="C39" s="84"/>
      <c r="D39" s="33" t="str">
        <f>IF(SUM(D8:D37)=0,"",MEDIAN(D8:D37))</f>
        <v/>
      </c>
      <c r="E39" s="34" t="str">
        <f t="shared" ref="E39:N39" si="5">IF(SUM(E8:E37)=0,"",MEDIAN(E8:E37))</f>
        <v/>
      </c>
      <c r="F39" s="35" t="str">
        <f t="shared" si="5"/>
        <v/>
      </c>
      <c r="G39" s="36" t="str">
        <f t="shared" si="5"/>
        <v/>
      </c>
      <c r="H39" s="37" t="str">
        <f t="shared" si="5"/>
        <v/>
      </c>
      <c r="I39" s="38" t="str">
        <f t="shared" si="5"/>
        <v/>
      </c>
      <c r="J39" s="37" t="str">
        <f t="shared" si="5"/>
        <v/>
      </c>
      <c r="K39" s="39" t="str">
        <f t="shared" si="5"/>
        <v/>
      </c>
      <c r="L39" s="58"/>
      <c r="M39" s="59"/>
      <c r="N39" s="40" t="str">
        <f t="shared" si="5"/>
        <v/>
      </c>
    </row>
    <row r="40" spans="1:14" ht="19.5" customHeight="1" x14ac:dyDescent="0.25">
      <c r="B40" s="83" t="s">
        <v>5</v>
      </c>
      <c r="C40" s="84"/>
      <c r="D40" s="33" t="str">
        <f>IF(SUM(D8:D37)=0,"",MAX(D8:D37))</f>
        <v/>
      </c>
      <c r="E40" s="34" t="str">
        <f t="shared" ref="E40:N40" si="6">IF(SUM(E8:E37)=0,"",MAX(E8:E37))</f>
        <v/>
      </c>
      <c r="F40" s="35" t="str">
        <f t="shared" si="6"/>
        <v/>
      </c>
      <c r="G40" s="36" t="str">
        <f t="shared" si="6"/>
        <v/>
      </c>
      <c r="H40" s="37" t="str">
        <f t="shared" si="6"/>
        <v/>
      </c>
      <c r="I40" s="38" t="str">
        <f t="shared" si="6"/>
        <v/>
      </c>
      <c r="J40" s="37" t="str">
        <f t="shared" si="6"/>
        <v/>
      </c>
      <c r="K40" s="39" t="str">
        <f t="shared" si="6"/>
        <v/>
      </c>
      <c r="L40" s="58"/>
      <c r="M40" s="59"/>
      <c r="N40" s="40" t="str">
        <f t="shared" si="6"/>
        <v/>
      </c>
    </row>
    <row r="41" spans="1:14" ht="19.5" customHeight="1" x14ac:dyDescent="0.25">
      <c r="B41" s="83" t="s">
        <v>6</v>
      </c>
      <c r="C41" s="84"/>
      <c r="D41" s="33" t="str">
        <f>IF(SUM(D8:D37)=0,"",MIN(D8:D37))</f>
        <v/>
      </c>
      <c r="E41" s="34" t="str">
        <f t="shared" ref="E41:N41" si="7">IF(SUM(E8:E37)=0,"",MIN(E8:E37))</f>
        <v/>
      </c>
      <c r="F41" s="35" t="str">
        <f t="shared" si="7"/>
        <v/>
      </c>
      <c r="G41" s="36" t="str">
        <f t="shared" si="7"/>
        <v/>
      </c>
      <c r="H41" s="37" t="str">
        <f t="shared" si="7"/>
        <v/>
      </c>
      <c r="I41" s="38" t="str">
        <f t="shared" si="7"/>
        <v/>
      </c>
      <c r="J41" s="37" t="str">
        <f t="shared" si="7"/>
        <v/>
      </c>
      <c r="K41" s="39" t="str">
        <f t="shared" si="7"/>
        <v/>
      </c>
      <c r="L41" s="58"/>
      <c r="M41" s="59"/>
      <c r="N41" s="40" t="str">
        <f t="shared" si="7"/>
        <v/>
      </c>
    </row>
    <row r="42" spans="1:14" ht="19.5" customHeight="1" x14ac:dyDescent="0.25">
      <c r="B42" s="85" t="s">
        <v>7</v>
      </c>
      <c r="C42" s="86"/>
      <c r="D42" s="41" t="str">
        <f>IF(D38="","",COUNTIF(D8:D37,"&lt;51")/COUNT(D8:D37)*100)</f>
        <v/>
      </c>
      <c r="E42" s="42" t="str">
        <f t="shared" ref="E42:N42" si="8">IF(E38="","",COUNTIF(E8:E37,"&lt;51")/COUNT(E8:E37)*100)</f>
        <v/>
      </c>
      <c r="F42" s="43" t="str">
        <f t="shared" si="8"/>
        <v/>
      </c>
      <c r="G42" s="44" t="str">
        <f t="shared" si="8"/>
        <v/>
      </c>
      <c r="H42" s="45" t="str">
        <f t="shared" si="8"/>
        <v/>
      </c>
      <c r="I42" s="46" t="str">
        <f t="shared" si="8"/>
        <v/>
      </c>
      <c r="J42" s="45" t="str">
        <f t="shared" si="8"/>
        <v/>
      </c>
      <c r="K42" s="47" t="str">
        <f t="shared" si="8"/>
        <v/>
      </c>
      <c r="L42" s="60"/>
      <c r="M42" s="61"/>
      <c r="N42" s="48" t="str">
        <f t="shared" si="8"/>
        <v/>
      </c>
    </row>
    <row r="43" spans="1:14" x14ac:dyDescent="0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spans="1:14" x14ac:dyDescent="0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spans="1:14" x14ac:dyDescent="0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spans="1:14" x14ac:dyDescent="0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spans="1:14" x14ac:dyDescent="0.25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spans="1:14" x14ac:dyDescent="0.25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spans="2:14" x14ac:dyDescent="0.25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1" spans="2:14" x14ac:dyDescent="0.25">
      <c r="E51" s="79"/>
      <c r="F51" s="80"/>
      <c r="G51" s="80"/>
      <c r="H51" s="80"/>
      <c r="I51" s="80"/>
      <c r="J51" s="80"/>
      <c r="K51" s="80"/>
      <c r="L51" s="50"/>
      <c r="M51" s="50"/>
    </row>
    <row r="52" spans="2:14" x14ac:dyDescent="0.25">
      <c r="E52" s="80"/>
      <c r="F52" s="80"/>
      <c r="G52" s="80"/>
      <c r="H52" s="80"/>
      <c r="I52" s="80"/>
      <c r="J52" s="80"/>
      <c r="K52" s="80"/>
      <c r="L52" s="50"/>
      <c r="M52" s="50"/>
    </row>
  </sheetData>
  <mergeCells count="19">
    <mergeCell ref="A6:A7"/>
    <mergeCell ref="E51:K51"/>
    <mergeCell ref="E52:K52"/>
    <mergeCell ref="B38:C38"/>
    <mergeCell ref="B39:C39"/>
    <mergeCell ref="B40:C40"/>
    <mergeCell ref="B41:C41"/>
    <mergeCell ref="B42:C42"/>
    <mergeCell ref="B2:N2"/>
    <mergeCell ref="B3:N3"/>
    <mergeCell ref="B4:N4"/>
    <mergeCell ref="B5:N5"/>
    <mergeCell ref="H6:I6"/>
    <mergeCell ref="J6:K6"/>
    <mergeCell ref="B6:B7"/>
    <mergeCell ref="C6:C7"/>
    <mergeCell ref="D6:E6"/>
    <mergeCell ref="F6:G6"/>
    <mergeCell ref="L6:M6"/>
  </mergeCells>
  <conditionalFormatting sqref="N8:N37">
    <cfRule type="cellIs" dxfId="0" priority="1" operator="between">
      <formula>1</formula>
      <formula>50</formula>
    </cfRule>
  </conditionalFormatting>
  <pageMargins left="0.25601851851851853" right="0.25" top="0.21875" bottom="0.75" header="0.3" footer="0.3"/>
  <pageSetup scale="7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2021-05-31T02:04:53Z</cp:lastPrinted>
  <dcterms:created xsi:type="dcterms:W3CDTF">2017-03-29T15:31:37Z</dcterms:created>
  <dcterms:modified xsi:type="dcterms:W3CDTF">2025-09-05T16:27:22Z</dcterms:modified>
</cp:coreProperties>
</file>
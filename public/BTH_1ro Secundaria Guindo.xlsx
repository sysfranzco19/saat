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<sst xmlns="http://schemas.openxmlformats.org/spreadsheetml/2006/main" uniqueCount="49">
  <si>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CUADRO GENERAL DE NOTAS</t>
  </si>
  <si>
    <t>BACHILLERATO TÉCNICO</t>
  </si>
  <si>
    <t>GESTIÓN 2026 NOTAS OFICIALES PRIMER TRIMESTRE</t>
  </si>
  <si>
    <t>1RO SECUNDARIA GUINDO</t>
  </si>
  <si>
    <t>Código</t>
  </si>
  <si>
    <t>Nº</t>
  </si>
  <si>
    <t>APELLIDOS Y NOMBRES</t>
  </si>
  <si>
    <t>BTH CONTENIDOS - DANIEL LA FUENTE</t>
  </si>
  <si>
    <t>BTH INFORMÁTICA - ELIAS TAPIA</t>
  </si>
  <si>
    <t>BTH PROGRAMACIÓN - DUSSAN BEJARANO</t>
  </si>
  <si>
    <t>BTH INGLÉS - SEBASTIAN SANTOS</t>
  </si>
  <si>
    <t>NOTA FINAL</t>
  </si>
  <si>
    <t>NT</t>
  </si>
  <si>
    <t>PO</t>
  </si>
  <si>
    <t>PRIMER TRIMESTRE</t>
  </si>
  <si>
    <t>ABUD SANCHEZ ANTONELLA SOFIA</t>
  </si>
  <si>
    <t>ARZE MEDINA OCTAVIO</t>
  </si>
  <si>
    <t>CACERES MANCILLA PAULA RENATA</t>
  </si>
  <si>
    <t>CARRILLO ALIAS DIANA SOFIA</t>
  </si>
  <si>
    <t>CHIARELLA PAZ LUCIANO SANTIAGO</t>
  </si>
  <si>
    <t>COHELLO ESCOBAR ADRIAN</t>
  </si>
  <si>
    <t>COSCIO SALINAS LUANA</t>
  </si>
  <si>
    <t>DELGADO SOLANO GABRIEL FERNANDO</t>
  </si>
  <si>
    <t>DIAZ DE OROPEZA PANIAGUA DEREK</t>
  </si>
  <si>
    <t>FORONDA ROSELLO SAMMYR ALEJANDRO</t>
  </si>
  <si>
    <t>GARCIA UREÑA ALEXANDER</t>
  </si>
  <si>
    <t>GONZALES OMONTE KETELYN CYNDELL</t>
  </si>
  <si>
    <t>GUZMAN ANGULO OLIVIA VALENTINA</t>
  </si>
  <si>
    <t>MONTAÑO CESPEDES RENATA VALENTINA</t>
  </si>
  <si>
    <t>MORON ESPINOZA LEONARDO</t>
  </si>
  <si>
    <t>OCAMPO DE BERDUCCY BENJAMIN EDUARDO</t>
  </si>
  <si>
    <t>PACHECO MIRANDA JUAN JOSE</t>
  </si>
  <si>
    <t>QUIROGA BUSTILLOS SOPHIE</t>
  </si>
  <si>
    <t>ROMERO VARGAS PAULINA</t>
  </si>
  <si>
    <t>SALAZAR MENDIETA DYLAN</t>
  </si>
  <si>
    <t>SARAVIA NAVIA SOFIA</t>
  </si>
  <si>
    <t>TAPIA OSSIO MARITE</t>
  </si>
  <si>
    <t>VALENZUELA GARFIAS LOURDES SOFIA</t>
  </si>
  <si>
    <t>VELASCO SOLIZ ALEJANDRO</t>
  </si>
  <si>
    <t>VERA CAMPOS CAMILA FABIANA</t>
  </si>
  <si>
    <t>VILLALOBOS SCHNURPFEIL FIORELLA</t>
  </si>
  <si>
    <t>WIGAND STAMBUK ZARA SOPHIA</t>
  </si>
  <si>
    <t>ZURITA GALVEZ VALENTINA</t>
  </si>
  <si>
    <t>PROMEDIOS MATERIAS</t>
  </si>
  <si>
    <t>MEDIANAS GENERALES</t>
  </si>
  <si>
    <t>NOTA MAXIMA</t>
  </si>
  <si>
    <t>NOTA MINIMA</t>
  </si>
  <si>
    <t>Porcentaje de Reprobados (%)</t>
  </si>
  <si>
    <t>Generado el : 06/05/2026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</si>
</sst>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singl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2" borderId="12" applyFont="1" applyNumberFormat="0" applyFill="1" applyBorder="1" applyAlignment="1">
      <alignment horizontal="center" vertical="center" textRotation="0" wrapText="fals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4" applyFont="1" applyNumberFormat="0" applyFill="0" applyBorder="1" applyAlignment="1">
      <alignment horizontal="center" vertical="center" textRotation="0" wrapText="false" shrinkToFit="false"/>
    </xf>
    <xf xfId="0" fontId="4" numFmtId="0" fillId="0" borderId="15" applyFont="1" applyNumberFormat="0" applyFill="0" applyBorder="1" applyAlignment="1">
      <alignment horizontal="center" vertical="center" textRotation="0" wrapText="false" shrinkToFit="false"/>
    </xf>
    <xf xfId="0" fontId="4" numFmtId="0" fillId="0" borderId="16" applyFont="1" applyNumberFormat="0" applyFill="0" applyBorder="1" applyAlignment="1">
      <alignment horizontal="center" vertical="center" textRotation="0" wrapText="false" shrinkToFit="false"/>
    </xf>
    <xf xfId="0" fontId="4" numFmtId="0" fillId="0" borderId="17" applyFont="1" applyNumberFormat="0" applyFill="0" applyBorder="1" applyAlignment="1">
      <alignment horizontal="center" vertical="center" textRotation="0" wrapText="false" shrinkToFit="false"/>
    </xf>
    <xf xfId="0" fontId="4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2" borderId="19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0"/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4" applyFont="1" applyNumberFormat="0" applyFill="1" applyBorder="1" applyAlignment="1">
      <alignment horizontal="center" vertical="center" textRotation="0" wrapText="false" shrinkToFit="false"/>
    </xf>
    <xf xfId="0" fontId="6" numFmtId="0" fillId="2" borderId="6" applyFont="1" applyNumberFormat="0" applyFill="1" applyBorder="1" applyAlignment="1">
      <alignment horizontal="center" textRotation="0" wrapText="true" shrinkToFit="false"/>
    </xf>
    <xf xfId="0" fontId="4" numFmtId="1" fillId="0" borderId="14" applyFont="1" applyNumberFormat="1" applyFill="0" applyBorder="1" applyAlignment="1">
      <alignment horizontal="center" vertical="center" textRotation="0" wrapText="false" shrinkToFit="false"/>
    </xf>
    <xf xfId="0" fontId="4" numFmtId="1" fillId="0" borderId="15" applyFont="1" applyNumberFormat="1" applyFill="0" applyBorder="1" applyAlignment="1">
      <alignment horizontal="center" vertical="center" textRotation="0" wrapText="false" shrinkToFit="false"/>
    </xf>
    <xf xfId="0" fontId="4" numFmtId="1" fillId="0" borderId="16" applyFont="1" applyNumberFormat="1" applyFill="0" applyBorder="1" applyAlignment="1">
      <alignment horizontal="center" vertical="center" textRotation="0" wrapText="false" shrinkToFit="false"/>
    </xf>
    <xf xfId="0" fontId="4" numFmtId="1" fillId="0" borderId="17" applyFont="1" applyNumberFormat="1" applyFill="0" applyBorder="1" applyAlignment="1">
      <alignment horizontal="center" vertical="center" textRotation="0" wrapText="false" shrinkToFit="false"/>
    </xf>
    <xf xfId="0" fontId="5" numFmtId="1" fillId="0" borderId="16" applyFont="1" applyNumberFormat="1" applyFill="0" applyBorder="1" applyAlignment="1">
      <alignment horizontal="center" vertical="center" textRotation="0" wrapText="false" shrinkToFit="false"/>
    </xf>
    <xf xfId="0" fontId="5" numFmtId="1" fillId="0" borderId="15" applyFont="1" applyNumberFormat="1" applyFill="0" applyBorder="1" applyAlignment="1">
      <alignment horizontal="center" vertical="center" textRotation="0" wrapText="false" shrinkToFit="false"/>
    </xf>
    <xf xfId="0" fontId="5" numFmtId="1" fillId="0" borderId="18" applyFont="1" applyNumberFormat="1" applyFill="0" applyBorder="1" applyAlignment="1">
      <alignment horizontal="center" vertical="center" textRotation="0" wrapText="false" shrinkToFit="false"/>
    </xf>
    <xf xfId="0" fontId="5" numFmtId="1" fillId="2" borderId="12" applyFont="1" applyNumberFormat="1" applyFill="1" applyBorder="1" applyAlignment="1">
      <alignment horizontal="center" vertical="center" textRotation="0" wrapText="false" shrinkToFit="false"/>
    </xf>
    <xf xfId="0" fontId="4" numFmtId="1" fillId="0" borderId="2" applyFont="1" applyNumberFormat="1" applyFill="0" applyBorder="1" applyAlignment="1">
      <alignment horizontal="center" vertical="center" textRotation="0" wrapText="false" shrinkToFit="false"/>
    </xf>
    <xf xfId="0" fontId="4" numFmtId="1" fillId="0" borderId="20" applyFont="1" applyNumberFormat="1" applyFill="0" applyBorder="1" applyAlignment="1">
      <alignment horizontal="center" vertical="center" textRotation="0" wrapText="false" shrinkToFit="false"/>
    </xf>
    <xf xfId="0" fontId="4" numFmtId="1" fillId="0" borderId="1" applyFont="1" applyNumberFormat="1" applyFill="0" applyBorder="1" applyAlignment="1">
      <alignment horizontal="center" vertical="center" textRotation="0" wrapText="false" shrinkToFit="false"/>
    </xf>
    <xf xfId="0" fontId="4" numFmtId="1" fillId="0" borderId="21" applyFont="1" applyNumberFormat="1" applyFill="0" applyBorder="1" applyAlignment="1">
      <alignment horizontal="center" vertical="center" textRotation="0" wrapText="false" shrinkToFit="false"/>
    </xf>
    <xf xfId="0" fontId="5" numFmtId="1" fillId="0" borderId="1" applyFont="1" applyNumberFormat="1" applyFill="0" applyBorder="1" applyAlignment="1">
      <alignment horizontal="center" vertical="center" textRotation="0" wrapText="false" shrinkToFit="false"/>
    </xf>
    <xf xfId="0" fontId="5" numFmtId="1" fillId="0" borderId="20" applyFont="1" applyNumberFormat="1" applyFill="0" applyBorder="1" applyAlignment="1">
      <alignment horizontal="center" vertical="center" textRotation="0" wrapText="false" shrinkToFit="false"/>
    </xf>
    <xf xfId="0" fontId="5" numFmtId="1" fillId="0" borderId="3" applyFont="1" applyNumberFormat="1" applyFill="0" applyBorder="1" applyAlignment="1">
      <alignment horizontal="center" vertical="center" textRotation="0" wrapText="false" shrinkToFit="false"/>
    </xf>
    <xf xfId="0" fontId="5" numFmtId="1" fillId="2" borderId="4" applyFont="1" applyNumberFormat="1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0" fillId="2" borderId="22" applyFont="1" applyNumberFormat="0" applyFill="1" applyBorder="1" applyAlignment="1">
      <alignment horizontal="center" textRotation="0" wrapText="false" shrinkToFit="false"/>
    </xf>
    <xf xfId="0" fontId="6" numFmtId="0" fillId="2" borderId="23" applyFont="1" applyNumberFormat="0" applyFill="1" applyBorder="1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center" vertical="center" textRotation="0" wrapText="fals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  <xf xfId="0" fontId="4" numFmtId="0" fillId="0" borderId="25" applyFont="1" applyNumberFormat="0" applyFill="0" applyBorder="1" applyAlignment="1">
      <alignment horizontal="center" vertical="center" textRotation="0" wrapText="false" shrinkToFit="false"/>
    </xf>
    <xf xfId="0" fontId="4" numFmtId="0" fillId="0" borderId="26" applyFont="1" applyNumberFormat="0" applyFill="0" applyBorder="1" applyAlignment="1">
      <alignment horizontal="center" vertical="center" textRotation="0" wrapText="false" shrinkToFit="false"/>
    </xf>
    <xf xfId="0" fontId="4" numFmtId="0" fillId="0" borderId="27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textRotation="0" wrapText="false" shrinkToFit="false"/>
    </xf>
    <xf xfId="0" fontId="9" numFmtId="0" fillId="0" borderId="0" applyFont="1" applyNumberFormat="0" applyFill="0" applyBorder="0" applyAlignment="1">
      <alignment horizontal="center" textRotation="0" wrapText="false" shrinkToFit="false"/>
    </xf>
    <xf xfId="0" fontId="10" numFmtId="0" fillId="0" borderId="0" applyFont="1" applyNumberFormat="0" applyFill="0" applyBorder="0" applyAlignment="1">
      <alignment horizontal="center" textRotation="0" wrapText="false" shrinkToFit="false"/>
    </xf>
    <xf xfId="0" fontId="11" numFmtId="0" fillId="0" borderId="28" applyFont="1" applyNumberFormat="0" applyFill="0" applyBorder="1" applyAlignment="1">
      <alignment horizontal="center" textRotation="0" wrapText="false" shrinkToFit="false"/>
    </xf>
    <xf xfId="0" fontId="2" numFmtId="0" fillId="0" borderId="5" applyFont="1" applyNumberFormat="0" applyFill="0" applyBorder="1" applyAlignment="1">
      <alignment horizontal="center" textRotation="0" wrapText="true" shrinkToFit="false"/>
    </xf>
    <xf xfId="0" fontId="2" numFmtId="0" fillId="0" borderId="29" applyFont="1" applyNumberFormat="0" applyFill="0" applyBorder="1" applyAlignment="1">
      <alignment horizont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3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textRotation="0" wrapText="true" shrinkToFit="false"/>
    </xf>
    <xf xfId="0" fontId="2" numFmtId="0" fillId="0" borderId="8" applyFont="1" applyNumberFormat="0" applyFill="0" applyBorder="1" applyAlignment="1">
      <alignment horizontal="center" textRotation="0" wrapText="false" shrinkToFit="false"/>
    </xf>
    <xf xfId="0" fontId="2" numFmtId="0" fillId="0" borderId="9" applyFont="1" applyNumberFormat="0" applyFill="0" applyBorder="1" applyAlignment="1">
      <alignment horizontal="center" textRotation="0" wrapText="true" shrinkToFit="false"/>
    </xf>
    <xf xfId="0" fontId="2" numFmtId="0" fillId="0" borderId="10" applyFont="1" applyNumberFormat="0" applyFill="0" applyBorder="1" applyAlignment="1">
      <alignment horizont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4ad6b8dad054df2f5e547de1155d7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876300</xdr:colOff>
      <xdr:row>4</xdr:row>
      <xdr:rowOff>19050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5730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52"/>
  <sheetViews>
    <sheetView tabSelected="1" workbookViewId="0" zoomScale="90" view="pageLayout" showGridLines="true" showRowColHeaders="1">
      <selection activeCell="L7" sqref="L7"/>
    </sheetView>
  </sheetViews>
  <sheetFormatPr defaultRowHeight="14.4" outlineLevelRow="0" outlineLevelCol="0"/>
  <cols>
    <col min="1" max="1" width="7.140625" customWidth="true" style="0"/>
    <col min="2" max="2" width="3.140625" customWidth="true" style="0"/>
    <col min="3" max="3" width="33.42578125" customWidth="true" style="0"/>
    <col min="4" max="4" width="5.42578125" customWidth="true" style="0"/>
    <col min="5" max="5" width="5.42578125" customWidth="true" style="0"/>
    <col min="6" max="6" width="5.42578125" customWidth="true" style="0"/>
    <col min="7" max="7" width="5.42578125" customWidth="true" style="0"/>
    <col min="8" max="8" width="5.42578125" customWidth="true" style="0"/>
    <col min="9" max="9" width="5.42578125" customWidth="true" style="0"/>
    <col min="10" max="10" width="5.42578125" customWidth="true" style="0"/>
    <col min="11" max="11" width="5.42578125" customWidth="true" style="0"/>
    <col min="12" max="12" width="9" customWidth="true" style="0"/>
    <col min="13" max="13" width="21.7109375" customWidth="true" style="0"/>
    <col min="14" max="14" width="1.140625" customWidth="true" style="0"/>
    <col min="15" max="15" width="22.5703125" customWidth="true" style="0"/>
    <col min="16" max="16" width="3.85546875" customWidth="true" style="0"/>
    <col min="17" max="17" width="3.85546875" customWidth="true" style="0"/>
    <col min="18" max="18" width="3.85546875" customWidth="true" style="0"/>
    <col min="19" max="19" width="3.85546875" customWidth="true" style="0"/>
    <col min="20" max="20" width="3.85546875" customWidth="true" style="0"/>
    <col min="21" max="21" width="3.85546875" customWidth="true" style="0"/>
    <col min="22" max="22" width="3.85546875" customWidth="true" style="0"/>
    <col min="23" max="23" width="3.85546875" customWidth="true" style="0"/>
    <col min="24" max="24" width="3.85546875" customWidth="true" style="0"/>
    <col min="25" max="25" width="3.85546875" customWidth="true" style="0"/>
  </cols>
  <sheetData>
    <row r="1" spans="1:25">
      <c r="A1"/>
    </row>
    <row r="2" spans="1:25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25">
      <c r="B3" s="61" t="s">
        <v>1</v>
      </c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25">
      <c r="B4" s="62" t="s">
        <v>2</v>
      </c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25" customHeight="1" ht="15.75">
      <c r="B5" s="63" t="s">
        <v>3</v>
      </c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25" customHeight="1" ht="34.5">
      <c r="A6" s="50" t="s">
        <v>4</v>
      </c>
      <c r="B6" s="66" t="s">
        <v>5</v>
      </c>
      <c r="C6" s="68" t="s">
        <v>6</v>
      </c>
      <c r="D6" s="70" t="s">
        <v>7</v>
      </c>
      <c r="E6" s="71"/>
      <c r="F6" s="72" t="s">
        <v>8</v>
      </c>
      <c r="G6" s="73"/>
      <c r="H6" s="64" t="s">
        <v>9</v>
      </c>
      <c r="I6" s="65"/>
      <c r="J6" s="64" t="s">
        <v>10</v>
      </c>
      <c r="K6" s="65"/>
      <c r="L6" s="32" t="s">
        <v>11</v>
      </c>
      <c r="M6" s="1"/>
      <c r="N6" s="1"/>
      <c r="O6" s="1"/>
      <c r="P6" s="1"/>
      <c r="Q6" s="1"/>
      <c r="R6" s="1"/>
      <c r="S6" s="1"/>
    </row>
    <row r="7" spans="1:25">
      <c r="A7" s="51"/>
      <c r="B7" s="67"/>
      <c r="C7" s="69"/>
      <c r="D7" s="3" t="s">
        <v>12</v>
      </c>
      <c r="E7" s="5" t="s">
        <v>13</v>
      </c>
      <c r="F7" s="2" t="s">
        <v>12</v>
      </c>
      <c r="G7" s="5" t="s">
        <v>13</v>
      </c>
      <c r="H7" s="2" t="s">
        <v>12</v>
      </c>
      <c r="I7" s="5" t="s">
        <v>13</v>
      </c>
      <c r="J7" s="2" t="s">
        <v>12</v>
      </c>
      <c r="K7" s="5" t="s">
        <v>13</v>
      </c>
      <c r="L7" s="6" t="s">
        <v>14</v>
      </c>
    </row>
    <row r="8" spans="1:25" customHeight="1" ht="19.5">
      <c r="A8" s="14">
        <v>2462</v>
      </c>
      <c r="B8" s="7">
        <v>1</v>
      </c>
      <c r="C8" s="8" t="s">
        <v>15</v>
      </c>
      <c r="D8" s="9">
        <v>80</v>
      </c>
      <c r="E8" s="49">
        <v>20.0</v>
      </c>
      <c r="F8" s="11">
        <v>78</v>
      </c>
      <c r="G8" s="12">
        <v>20.0</v>
      </c>
      <c r="H8" s="11">
        <v>80</v>
      </c>
      <c r="I8" s="10">
        <v>20.0</v>
      </c>
      <c r="J8" s="11"/>
      <c r="K8" s="13" t="str">
        <f>IF(J8&lt;&gt;"",ROUND(J8*0.25,0),"")</f>
        <v/>
      </c>
      <c r="L8" s="14" t="e">
        <f>IF(E8&lt;&gt;"",IF(#REF!="",E8+G8+I8+K8,E8+G8+I8+K8+#REF!),"")</f>
        <v>#VALUE!</v>
      </c>
    </row>
    <row r="9" spans="1:25" customHeight="1" ht="19.5">
      <c r="A9" s="14">
        <v>2540</v>
      </c>
      <c r="B9" s="15">
        <v>2</v>
      </c>
      <c r="C9" s="16" t="s">
        <v>16</v>
      </c>
      <c r="D9" s="17">
        <v>80</v>
      </c>
      <c r="E9" s="18">
        <v>20.0</v>
      </c>
      <c r="F9" s="19">
        <v>41</v>
      </c>
      <c r="G9" s="20">
        <v>10.0</v>
      </c>
      <c r="H9" s="19">
        <v>40</v>
      </c>
      <c r="I9" s="18">
        <v>10.0</v>
      </c>
      <c r="J9" s="19"/>
      <c r="K9" s="21" t="str">
        <f>IF(J9&lt;&gt;"",ROUND(J9*0.25,0),"")</f>
        <v/>
      </c>
      <c r="L9" s="14" t="e">
        <f>IF(E9&lt;&gt;"",IF(#REF!="",E9+G9+I9+K9,E9+G9+I9+K9+#REF!),"")</f>
        <v>#VALUE!</v>
      </c>
    </row>
    <row r="10" spans="1:25" customHeight="1" ht="19.5">
      <c r="A10" s="14">
        <v>3116</v>
      </c>
      <c r="B10" s="15">
        <v>3</v>
      </c>
      <c r="C10" s="16" t="s">
        <v>17</v>
      </c>
      <c r="D10" s="17">
        <v>51</v>
      </c>
      <c r="E10" s="18">
        <v>13.0</v>
      </c>
      <c r="F10" s="19">
        <v>52</v>
      </c>
      <c r="G10" s="20">
        <v>13.0</v>
      </c>
      <c r="H10" s="19">
        <v>70</v>
      </c>
      <c r="I10" s="18">
        <v>18.0</v>
      </c>
      <c r="J10" s="19"/>
      <c r="K10" s="21" t="str">
        <f>IF(J10&lt;&gt;"",ROUND(J10*0.25,0),"")</f>
        <v/>
      </c>
      <c r="L10" s="14" t="e">
        <f>IF(E10&lt;&gt;"",IF(#REF!="",E10+G10+I10+K10,E10+G10+I10+K10+#REF!),"")</f>
        <v>#VALUE!</v>
      </c>
    </row>
    <row r="11" spans="1:25" customHeight="1" ht="19.5">
      <c r="A11" s="14">
        <v>2618</v>
      </c>
      <c r="B11" s="15">
        <v>4</v>
      </c>
      <c r="C11" s="16" t="s">
        <v>18</v>
      </c>
      <c r="D11" s="17">
        <v>65</v>
      </c>
      <c r="E11" s="18">
        <v>16.0</v>
      </c>
      <c r="F11" s="19">
        <v>70</v>
      </c>
      <c r="G11" s="20">
        <v>18.0</v>
      </c>
      <c r="H11" s="19">
        <v>85</v>
      </c>
      <c r="I11" s="18">
        <v>21.0</v>
      </c>
      <c r="J11" s="19"/>
      <c r="K11" s="21" t="str">
        <f>IF(J11&lt;&gt;"",ROUND(J11*0.25,0),"")</f>
        <v/>
      </c>
      <c r="L11" s="14" t="e">
        <f>IF(E11&lt;&gt;"",IF(#REF!="",E11+G11+I11+K11,E11+G11+I11+K11+#REF!),"")</f>
        <v>#VALUE!</v>
      </c>
    </row>
    <row r="12" spans="1:25" customHeight="1" ht="19.5">
      <c r="A12" s="14">
        <v>2552</v>
      </c>
      <c r="B12" s="15">
        <v>5</v>
      </c>
      <c r="C12" s="16" t="s">
        <v>19</v>
      </c>
      <c r="D12" s="17">
        <v>58</v>
      </c>
      <c r="E12" s="18">
        <v>15.0</v>
      </c>
      <c r="F12" s="19">
        <v>44</v>
      </c>
      <c r="G12" s="20">
        <v>11.0</v>
      </c>
      <c r="H12" s="19">
        <v>65</v>
      </c>
      <c r="I12" s="18">
        <v>16.0</v>
      </c>
      <c r="J12" s="19"/>
      <c r="K12" s="21" t="str">
        <f>IF(J12&lt;&gt;"",ROUND(J12*0.25,0),"")</f>
        <v/>
      </c>
      <c r="L12" s="14" t="e">
        <f>IF(E12&lt;&gt;"",IF(#REF!="",E12+G12+I12+K12,E12+G12+I12+K12+#REF!),"")</f>
        <v>#VALUE!</v>
      </c>
    </row>
    <row r="13" spans="1:25" customHeight="1" ht="19.5">
      <c r="A13" s="22">
        <v>2544</v>
      </c>
      <c r="B13" s="15">
        <v>6</v>
      </c>
      <c r="C13" s="16" t="s">
        <v>20</v>
      </c>
      <c r="D13" s="17">
        <v>45</v>
      </c>
      <c r="E13" s="18">
        <v>11.0</v>
      </c>
      <c r="F13" s="19">
        <v>33</v>
      </c>
      <c r="G13" s="20">
        <v>8.0</v>
      </c>
      <c r="H13" s="19">
        <v>76</v>
      </c>
      <c r="I13" s="18">
        <v>19.0</v>
      </c>
      <c r="J13" s="19"/>
      <c r="K13" s="21" t="str">
        <f>IF(J13&lt;&gt;"",ROUND(J13*0.25,0),"")</f>
        <v/>
      </c>
      <c r="L13" s="22" t="e">
        <f>IF(E13&lt;&gt;"",IF(#REF!="",E13+G13+I13+K13,E13+G13+I13+K13+#REF!),"")</f>
        <v>#VALUE!</v>
      </c>
    </row>
    <row r="14" spans="1:25" customHeight="1" ht="19.5">
      <c r="A14" s="14">
        <v>2740</v>
      </c>
      <c r="B14" s="15">
        <v>7</v>
      </c>
      <c r="C14" s="16" t="s">
        <v>21</v>
      </c>
      <c r="D14" s="17">
        <v>71</v>
      </c>
      <c r="E14" s="18">
        <v>18.0</v>
      </c>
      <c r="F14" s="19">
        <v>70</v>
      </c>
      <c r="G14" s="20">
        <v>18.0</v>
      </c>
      <c r="H14" s="19">
        <v>80</v>
      </c>
      <c r="I14" s="18">
        <v>20.0</v>
      </c>
      <c r="J14" s="19"/>
      <c r="K14" s="21" t="str">
        <f>IF(J14&lt;&gt;"",ROUND(J14*0.25,0),"")</f>
        <v/>
      </c>
      <c r="L14" s="14" t="e">
        <f>IF(E14&lt;&gt;"",IF(#REF!="",E14+G14+I14+K14,E14+G14+I14+K14+#REF!),"")</f>
        <v>#VALUE!</v>
      </c>
    </row>
    <row r="15" spans="1:25" customHeight="1" ht="19.5">
      <c r="A15" s="14">
        <v>2682</v>
      </c>
      <c r="B15" s="15">
        <v>8</v>
      </c>
      <c r="C15" s="16" t="s">
        <v>22</v>
      </c>
      <c r="D15" s="17">
        <v>49</v>
      </c>
      <c r="E15" s="18">
        <v>12.0</v>
      </c>
      <c r="F15" s="19">
        <v>47</v>
      </c>
      <c r="G15" s="20">
        <v>12.0</v>
      </c>
      <c r="H15" s="19">
        <v>76</v>
      </c>
      <c r="I15" s="18">
        <v>19.0</v>
      </c>
      <c r="J15" s="19"/>
      <c r="K15" s="21" t="str">
        <f>IF(J15&lt;&gt;"",ROUND(J15*0.25,0),"")</f>
        <v/>
      </c>
      <c r="L15" s="14" t="e">
        <f>IF(E15&lt;&gt;"",IF(#REF!="",E15+G15+I15+K15,E15+G15+I15+K15+#REF!),"")</f>
        <v>#VALUE!</v>
      </c>
    </row>
    <row r="16" spans="1:25" customHeight="1" ht="19.5">
      <c r="A16" s="14">
        <v>2546</v>
      </c>
      <c r="B16" s="15">
        <v>9</v>
      </c>
      <c r="C16" s="16" t="s">
        <v>23</v>
      </c>
      <c r="D16" s="17">
        <v>65</v>
      </c>
      <c r="E16" s="18">
        <v>16.0</v>
      </c>
      <c r="F16" s="19">
        <v>44</v>
      </c>
      <c r="G16" s="20">
        <v>11.0</v>
      </c>
      <c r="H16" s="19">
        <v>40</v>
      </c>
      <c r="I16" s="18">
        <v>10.0</v>
      </c>
      <c r="J16" s="19"/>
      <c r="K16" s="21" t="str">
        <f>IF(J16&lt;&gt;"",ROUND(J16*0.25,0),"")</f>
        <v/>
      </c>
      <c r="L16" s="14" t="e">
        <f>IF(E16&lt;&gt;"",IF(#REF!="",E16+G16+I16+K16,E16+G16+I16+K16+#REF!),"")</f>
        <v>#VALUE!</v>
      </c>
    </row>
    <row r="17" spans="1:25" customHeight="1" ht="19.5">
      <c r="A17" s="14">
        <v>2607</v>
      </c>
      <c r="B17" s="15">
        <v>10</v>
      </c>
      <c r="C17" s="16" t="s">
        <v>24</v>
      </c>
      <c r="D17" s="17">
        <v>55</v>
      </c>
      <c r="E17" s="18">
        <v>14.0</v>
      </c>
      <c r="F17" s="19">
        <v>72</v>
      </c>
      <c r="G17" s="20">
        <v>18.0</v>
      </c>
      <c r="H17" s="19">
        <v>50</v>
      </c>
      <c r="I17" s="18">
        <v>13.0</v>
      </c>
      <c r="J17" s="19"/>
      <c r="K17" s="21" t="str">
        <f>IF(J17&lt;&gt;"",ROUND(J17*0.25,0),"")</f>
        <v/>
      </c>
      <c r="L17" s="14" t="e">
        <f>IF(E17&lt;&gt;"",IF(#REF!="",E17+G17+I17+K17,E17+G17+I17+K17+#REF!),"")</f>
        <v>#VALUE!</v>
      </c>
    </row>
    <row r="18" spans="1:25" customHeight="1" ht="19.5">
      <c r="A18" s="22">
        <v>2427</v>
      </c>
      <c r="B18" s="15">
        <v>11</v>
      </c>
      <c r="C18" s="16" t="s">
        <v>25</v>
      </c>
      <c r="D18" s="17">
        <v>69</v>
      </c>
      <c r="E18" s="18">
        <v>17.0</v>
      </c>
      <c r="F18" s="19">
        <v>81</v>
      </c>
      <c r="G18" s="20">
        <v>20.0</v>
      </c>
      <c r="H18" s="19">
        <v>81</v>
      </c>
      <c r="I18" s="18">
        <v>20.0</v>
      </c>
      <c r="J18" s="19"/>
      <c r="K18" s="21" t="str">
        <f>IF(J18&lt;&gt;"",ROUND(J18*0.25,0),"")</f>
        <v/>
      </c>
      <c r="L18" s="22" t="e">
        <f>IF(E18&lt;&gt;"",IF(#REF!="",E18+G18+I18+K18,E18+G18+I18+K18+#REF!),"")</f>
        <v>#VALUE!</v>
      </c>
    </row>
    <row r="19" spans="1:25" customHeight="1" ht="19.5">
      <c r="A19" s="14">
        <v>2586</v>
      </c>
      <c r="B19" s="15">
        <v>12</v>
      </c>
      <c r="C19" s="16" t="s">
        <v>26</v>
      </c>
      <c r="D19" s="17">
        <v>63</v>
      </c>
      <c r="E19" s="18">
        <v>16.0</v>
      </c>
      <c r="F19" s="19">
        <v>55</v>
      </c>
      <c r="G19" s="20">
        <v>14.0</v>
      </c>
      <c r="H19" s="19">
        <v>78</v>
      </c>
      <c r="I19" s="18">
        <v>20.0</v>
      </c>
      <c r="J19" s="19"/>
      <c r="K19" s="21" t="str">
        <f>IF(J19&lt;&gt;"",ROUND(J19*0.25,0),"")</f>
        <v/>
      </c>
      <c r="L19" s="14" t="e">
        <f>IF(E19&lt;&gt;"",IF(#REF!="",E19+G19+I19+K19,E19+G19+I19+K19+#REF!),"")</f>
        <v>#VALUE!</v>
      </c>
    </row>
    <row r="20" spans="1:25" customHeight="1" ht="19.5">
      <c r="A20" s="14">
        <v>2486</v>
      </c>
      <c r="B20" s="15">
        <v>13</v>
      </c>
      <c r="C20" s="16" t="s">
        <v>27</v>
      </c>
      <c r="D20" s="17">
        <v>73</v>
      </c>
      <c r="E20" s="18">
        <v>18.0</v>
      </c>
      <c r="F20" s="19">
        <v>48</v>
      </c>
      <c r="G20" s="20">
        <v>12.0</v>
      </c>
      <c r="H20" s="19">
        <v>80</v>
      </c>
      <c r="I20" s="18">
        <v>20.0</v>
      </c>
      <c r="J20" s="19"/>
      <c r="K20" s="21" t="str">
        <f>IF(J20&lt;&gt;"",ROUND(J20*0.25,0),"")</f>
        <v/>
      </c>
      <c r="L20" s="14" t="e">
        <f>IF(E20&lt;&gt;"",IF(#REF!="",E20+G20+I20+K20,E20+G20+I20+K20+#REF!),"")</f>
        <v>#VALUE!</v>
      </c>
    </row>
    <row r="21" spans="1:25" customHeight="1" ht="19.5">
      <c r="A21" s="14">
        <v>2448</v>
      </c>
      <c r="B21" s="15">
        <v>14</v>
      </c>
      <c r="C21" s="16" t="s">
        <v>28</v>
      </c>
      <c r="D21" s="17">
        <v>63</v>
      </c>
      <c r="E21" s="18">
        <v>16.0</v>
      </c>
      <c r="F21" s="19">
        <v>49</v>
      </c>
      <c r="G21" s="20">
        <v>12.0</v>
      </c>
      <c r="H21" s="19">
        <v>80</v>
      </c>
      <c r="I21" s="18">
        <v>20.0</v>
      </c>
      <c r="J21" s="19"/>
      <c r="K21" s="21" t="str">
        <f>IF(J21&lt;&gt;"",ROUND(J21*0.25,0),"")</f>
        <v/>
      </c>
      <c r="L21" s="14" t="e">
        <f>IF(E21&lt;&gt;"",IF(#REF!="",E21+G21+I21+K21,E21+G21+I21+K21+#REF!),"")</f>
        <v>#VALUE!</v>
      </c>
    </row>
    <row r="22" spans="1:25" customHeight="1" ht="19.5">
      <c r="A22" s="14">
        <v>2605</v>
      </c>
      <c r="B22" s="15">
        <v>15</v>
      </c>
      <c r="C22" s="16" t="s">
        <v>29</v>
      </c>
      <c r="D22" s="17">
        <v>74</v>
      </c>
      <c r="E22" s="18">
        <v>19.0</v>
      </c>
      <c r="F22" s="19">
        <v>79</v>
      </c>
      <c r="G22" s="20">
        <v>20.0</v>
      </c>
      <c r="H22" s="19">
        <v>40</v>
      </c>
      <c r="I22" s="18">
        <v>10.0</v>
      </c>
      <c r="J22" s="19"/>
      <c r="K22" s="21" t="str">
        <f>IF(J22&lt;&gt;"",ROUND(J22*0.25,0),"")</f>
        <v/>
      </c>
      <c r="L22" s="14" t="e">
        <f>IF(E22&lt;&gt;"",IF(#REF!="",E22+G22+I22+K22,E22+G22+I22+K22+#REF!),"")</f>
        <v>#VALUE!</v>
      </c>
    </row>
    <row r="23" spans="1:25" customHeight="1" ht="19.5">
      <c r="A23" s="22">
        <v>2484</v>
      </c>
      <c r="B23" s="15">
        <v>16</v>
      </c>
      <c r="C23" s="16" t="s">
        <v>30</v>
      </c>
      <c r="D23" s="17">
        <v>61</v>
      </c>
      <c r="E23" s="18">
        <v>15.0</v>
      </c>
      <c r="F23" s="19">
        <v>81</v>
      </c>
      <c r="G23" s="20">
        <v>20.0</v>
      </c>
      <c r="H23" s="19">
        <v>21</v>
      </c>
      <c r="I23" s="18">
        <v>5.0</v>
      </c>
      <c r="J23" s="19"/>
      <c r="K23" s="21" t="str">
        <f>IF(J23&lt;&gt;"",ROUND(J23*0.25,0),"")</f>
        <v/>
      </c>
      <c r="L23" s="22" t="e">
        <f>IF(E23&lt;&gt;"",IF(#REF!="",E23+G23+I23+K23,E23+G23+I23+K23+#REF!),"")</f>
        <v>#VALUE!</v>
      </c>
    </row>
    <row r="24" spans="1:25" customHeight="1" ht="19.5">
      <c r="A24" s="14">
        <v>2423</v>
      </c>
      <c r="B24" s="15">
        <v>17</v>
      </c>
      <c r="C24" s="16" t="s">
        <v>31</v>
      </c>
      <c r="D24" s="17">
        <v>66</v>
      </c>
      <c r="E24" s="18">
        <v>17.0</v>
      </c>
      <c r="F24" s="19">
        <v>70</v>
      </c>
      <c r="G24" s="20">
        <v>18.0</v>
      </c>
      <c r="H24" s="19">
        <v>78</v>
      </c>
      <c r="I24" s="18">
        <v>20.0</v>
      </c>
      <c r="J24" s="19"/>
      <c r="K24" s="21" t="str">
        <f>IF(J24&lt;&gt;"",ROUND(J24*0.25,0),"")</f>
        <v/>
      </c>
      <c r="L24" s="14" t="e">
        <f>IF(E24&lt;&gt;"",IF(#REF!="",E24+G24+I24+K24,E24+G24+I24+K24+#REF!),"")</f>
        <v>#VALUE!</v>
      </c>
    </row>
    <row r="25" spans="1:25" customHeight="1" ht="19.5">
      <c r="A25" s="14">
        <v>2593</v>
      </c>
      <c r="B25" s="15">
        <v>18</v>
      </c>
      <c r="C25" s="16" t="s">
        <v>32</v>
      </c>
      <c r="D25" s="17">
        <v>60</v>
      </c>
      <c r="E25" s="18">
        <v>15.0</v>
      </c>
      <c r="F25" s="19">
        <v>44</v>
      </c>
      <c r="G25" s="20">
        <v>11.0</v>
      </c>
      <c r="H25" s="19">
        <v>78</v>
      </c>
      <c r="I25" s="18">
        <v>20.0</v>
      </c>
      <c r="J25" s="19"/>
      <c r="K25" s="21" t="str">
        <f>IF(J25&lt;&gt;"",ROUND(J25*0.25,0),"")</f>
        <v/>
      </c>
      <c r="L25" s="14" t="e">
        <f>IF(E25&lt;&gt;"",IF(#REF!="",E25+G25+I25+K25,E25+G25+I25+K25+#REF!),"")</f>
        <v>#VALUE!</v>
      </c>
    </row>
    <row r="26" spans="1:25" customHeight="1" ht="19.5">
      <c r="A26" s="14">
        <v>2389</v>
      </c>
      <c r="B26" s="15">
        <v>19</v>
      </c>
      <c r="C26" s="23" t="s">
        <v>33</v>
      </c>
      <c r="D26" s="17">
        <v>69</v>
      </c>
      <c r="E26" s="18">
        <v>17.0</v>
      </c>
      <c r="F26" s="19">
        <v>57</v>
      </c>
      <c r="G26" s="20">
        <v>14.0</v>
      </c>
      <c r="H26" s="19">
        <v>85</v>
      </c>
      <c r="I26" s="18">
        <v>21.0</v>
      </c>
      <c r="J26" s="19"/>
      <c r="K26" s="21" t="str">
        <f>IF(J26&lt;&gt;"",ROUND(J26*0.25,0),"")</f>
        <v/>
      </c>
      <c r="L26" s="14" t="e">
        <f>IF(E26&lt;&gt;"",IF(#REF!="",E26+G26+I26+K26,E26+G26+I26+K26+#REF!),"")</f>
        <v>#VALUE!</v>
      </c>
    </row>
    <row r="27" spans="1:25" customHeight="1" ht="19.5">
      <c r="A27" s="14">
        <v>2474</v>
      </c>
      <c r="B27" s="15">
        <v>20</v>
      </c>
      <c r="C27" s="16" t="s">
        <v>34</v>
      </c>
      <c r="D27" s="17">
        <v>60</v>
      </c>
      <c r="E27" s="18">
        <v>15.0</v>
      </c>
      <c r="F27" s="19">
        <v>66</v>
      </c>
      <c r="G27" s="20">
        <v>17.0</v>
      </c>
      <c r="H27" s="19">
        <v>73</v>
      </c>
      <c r="I27" s="18">
        <v>18.0</v>
      </c>
      <c r="J27" s="19"/>
      <c r="K27" s="21" t="str">
        <f>IF(J27&lt;&gt;"",ROUND(J27*0.25,0),"")</f>
        <v/>
      </c>
      <c r="L27" s="14" t="e">
        <f>IF(E27&lt;&gt;"",IF(#REF!="",E27+G27+I27+K27,E27+G27+I27+K27+#REF!),"")</f>
        <v>#VALUE!</v>
      </c>
    </row>
    <row r="28" spans="1:25" customHeight="1" ht="19.5">
      <c r="A28" s="22">
        <v>2742</v>
      </c>
      <c r="B28" s="15">
        <v>21</v>
      </c>
      <c r="C28" s="16" t="s">
        <v>35</v>
      </c>
      <c r="D28" s="17">
        <v>41</v>
      </c>
      <c r="E28" s="18">
        <v>10.0</v>
      </c>
      <c r="F28" s="19">
        <v>69</v>
      </c>
      <c r="G28" s="20">
        <v>17.0</v>
      </c>
      <c r="H28" s="19">
        <v>41</v>
      </c>
      <c r="I28" s="18">
        <v>10.0</v>
      </c>
      <c r="J28" s="19"/>
      <c r="K28" s="21" t="str">
        <f>IF(J28&lt;&gt;"",ROUND(J28*0.25,0),"")</f>
        <v/>
      </c>
      <c r="L28" s="22" t="e">
        <f>IF(E28&lt;&gt;"",IF(#REF!="",E28+G28+I28+K28,E28+G28+I28+K28+#REF!),"")</f>
        <v>#VALUE!</v>
      </c>
    </row>
    <row r="29" spans="1:25" customHeight="1" ht="19.5">
      <c r="A29" s="14">
        <v>2539</v>
      </c>
      <c r="B29" s="15">
        <v>22</v>
      </c>
      <c r="C29" s="16" t="s">
        <v>36</v>
      </c>
      <c r="D29" s="17">
        <v>64</v>
      </c>
      <c r="E29" s="18">
        <v>16.0</v>
      </c>
      <c r="F29" s="19">
        <v>48</v>
      </c>
      <c r="G29" s="20">
        <v>12.0</v>
      </c>
      <c r="H29" s="19">
        <v>80</v>
      </c>
      <c r="I29" s="18">
        <v>20.0</v>
      </c>
      <c r="J29" s="19"/>
      <c r="K29" s="21" t="str">
        <f>IF(J29&lt;&gt;"",ROUND(J29*0.25,0),"")</f>
        <v/>
      </c>
      <c r="L29" s="14" t="e">
        <f>IF(E29&lt;&gt;"",IF(#REF!="",E29+G29+I29+K29,E29+G29+I29+K29+#REF!),"")</f>
        <v>#VALUE!</v>
      </c>
    </row>
    <row r="30" spans="1:25" customHeight="1" ht="19.5">
      <c r="A30" s="14">
        <v>2792</v>
      </c>
      <c r="B30" s="15">
        <v>23</v>
      </c>
      <c r="C30" s="16" t="s">
        <v>37</v>
      </c>
      <c r="D30" s="17">
        <v>68</v>
      </c>
      <c r="E30" s="18">
        <v>17.0</v>
      </c>
      <c r="F30" s="19">
        <v>59</v>
      </c>
      <c r="G30" s="20">
        <v>15.0</v>
      </c>
      <c r="H30" s="19">
        <v>80</v>
      </c>
      <c r="I30" s="18">
        <v>20.0</v>
      </c>
      <c r="J30" s="19"/>
      <c r="K30" s="21" t="str">
        <f>IF(J30&lt;&gt;"",ROUND(J30*0.25,0),"")</f>
        <v/>
      </c>
      <c r="L30" s="14" t="e">
        <f>IF(E30&lt;&gt;"",IF(#REF!="",E30+G30+I30+K30,E30+G30+I30+K30+#REF!),"")</f>
        <v>#VALUE!</v>
      </c>
    </row>
    <row r="31" spans="1:25" customHeight="1" ht="19.5">
      <c r="A31" s="14">
        <v>2604</v>
      </c>
      <c r="B31" s="15">
        <v>24</v>
      </c>
      <c r="C31" s="16" t="s">
        <v>38</v>
      </c>
      <c r="D31" s="17">
        <v>70</v>
      </c>
      <c r="E31" s="18">
        <v>18.0</v>
      </c>
      <c r="F31" s="19">
        <v>65</v>
      </c>
      <c r="G31" s="20">
        <v>16.0</v>
      </c>
      <c r="H31" s="19">
        <v>81</v>
      </c>
      <c r="I31" s="18">
        <v>20.0</v>
      </c>
      <c r="J31" s="19"/>
      <c r="K31" s="21" t="str">
        <f>IF(J31&lt;&gt;"",ROUND(J31*0.25,0),"")</f>
        <v/>
      </c>
      <c r="L31" s="14" t="e">
        <f>IF(E31&lt;&gt;"",IF(#REF!="",E31+G31+I31+K31,E31+G31+I31+K31+#REF!),"")</f>
        <v>#VALUE!</v>
      </c>
    </row>
    <row r="32" spans="1:25" customHeight="1" ht="19.5">
      <c r="A32" s="14">
        <v>2439</v>
      </c>
      <c r="B32" s="15">
        <v>25</v>
      </c>
      <c r="C32" s="16" t="s">
        <v>39</v>
      </c>
      <c r="D32" s="17">
        <v>74</v>
      </c>
      <c r="E32" s="18">
        <v>19.0</v>
      </c>
      <c r="F32" s="19">
        <v>72</v>
      </c>
      <c r="G32" s="20">
        <v>18.0</v>
      </c>
      <c r="H32" s="19">
        <v>80</v>
      </c>
      <c r="I32" s="18">
        <v>20.0</v>
      </c>
      <c r="J32" s="19"/>
      <c r="K32" s="21" t="str">
        <f>IF(J32&lt;&gt;"",ROUND(J32*0.25,0),"")</f>
        <v/>
      </c>
      <c r="L32" s="14" t="e">
        <f>IF(E32&lt;&gt;"",IF(#REF!="",E32+G32+I32+K32,E32+G32+I32+K32+#REF!),"")</f>
        <v>#VALUE!</v>
      </c>
    </row>
    <row r="33" spans="1:25" customHeight="1" ht="19.5">
      <c r="A33" s="22">
        <v>2395</v>
      </c>
      <c r="B33" s="15">
        <v>26</v>
      </c>
      <c r="C33" s="16" t="s">
        <v>40</v>
      </c>
      <c r="D33" s="17">
        <v>67</v>
      </c>
      <c r="E33" s="18">
        <v>17.0</v>
      </c>
      <c r="F33" s="19">
        <v>80</v>
      </c>
      <c r="G33" s="20">
        <v>20.0</v>
      </c>
      <c r="H33" s="19">
        <v>80</v>
      </c>
      <c r="I33" s="18">
        <v>20.0</v>
      </c>
      <c r="J33" s="19"/>
      <c r="K33" s="21" t="str">
        <f>IF(J33&lt;&gt;"",ROUND(J33*0.25,0),"")</f>
        <v/>
      </c>
      <c r="L33" s="22" t="e">
        <f>IF(E33&lt;&gt;"",IF(#REF!="",E33+G33+I33+K33,E33+G33+I33+K33+#REF!),"")</f>
        <v>#VALUE!</v>
      </c>
    </row>
    <row r="34" spans="1:25" customHeight="1" ht="19.5">
      <c r="A34" s="14">
        <v>2583</v>
      </c>
      <c r="B34" s="15">
        <v>27</v>
      </c>
      <c r="C34" s="16" t="s">
        <v>41</v>
      </c>
      <c r="D34" s="17">
        <v>73</v>
      </c>
      <c r="E34" s="18">
        <v>18.0</v>
      </c>
      <c r="F34" s="19">
        <v>85</v>
      </c>
      <c r="G34" s="20">
        <v>21.0</v>
      </c>
      <c r="H34" s="19">
        <v>82</v>
      </c>
      <c r="I34" s="18">
        <v>21.0</v>
      </c>
      <c r="J34" s="19"/>
      <c r="K34" s="21" t="str">
        <f>IF(J34&lt;&gt;"",ROUND(J34*0.25,0),"")</f>
        <v/>
      </c>
      <c r="L34" s="14" t="e">
        <f>IF(E34&lt;&gt;"",IF(#REF!="",E34+G34+I34+K34,E34+G34+I34+K34+#REF!),"")</f>
        <v>#VALUE!</v>
      </c>
    </row>
    <row r="35" spans="1:25" customHeight="1" ht="19.5">
      <c r="A35" s="14">
        <v>2431</v>
      </c>
      <c r="B35" s="15">
        <v>28</v>
      </c>
      <c r="C35" s="16" t="s">
        <v>42</v>
      </c>
      <c r="D35" s="17">
        <v>67</v>
      </c>
      <c r="E35" s="18">
        <v>17.0</v>
      </c>
      <c r="F35" s="19">
        <v>40</v>
      </c>
      <c r="G35" s="20">
        <v>10.0</v>
      </c>
      <c r="H35" s="19">
        <v>80</v>
      </c>
      <c r="I35" s="18">
        <v>20.0</v>
      </c>
      <c r="J35" s="19"/>
      <c r="K35" s="21" t="str">
        <f>IF(J35&lt;&gt;"",ROUND(J35*0.25,0),"")</f>
        <v/>
      </c>
      <c r="L35" s="14" t="e">
        <f>IF(E35&lt;&gt;"",IF(#REF!="",E35+G35+I35+K35,E35+G35+I35+K35+#REF!),"")</f>
        <v>#VALUE!</v>
      </c>
    </row>
    <row r="36" spans="1:25" customHeight="1" ht="19.5">
      <c r="A36" s="14"/>
      <c r="B36" s="15">
        <v>29</v>
      </c>
      <c r="C36" s="16"/>
      <c r="D36" s="17"/>
      <c r="E36" s="18" t="str">
        <f>IF(D36&lt;&gt;"",ROUND(D36*0.25,0),"")</f>
        <v/>
      </c>
      <c r="F36" s="19"/>
      <c r="G36" s="20" t="str">
        <f>IF(F36&lt;&gt;"",ROUND(F36*0.25,0),"")</f>
        <v/>
      </c>
      <c r="H36" s="19"/>
      <c r="I36" s="18" t="str">
        <f>IF(H36&lt;&gt;"",ROUND(H36*0.25,0),"")</f>
        <v/>
      </c>
      <c r="J36" s="19"/>
      <c r="K36" s="21" t="str">
        <f>IF(J36&lt;&gt;"",ROUND(J36*0.25,0),"")</f>
        <v/>
      </c>
      <c r="L36" s="14" t="str">
        <f>IF(E36&lt;&gt;"",IF(#REF!="",E36+G36+I36+K36,E36+G36+I36+K36+#REF!),"")</f>
        <v/>
      </c>
    </row>
    <row r="37" spans="1:25" customHeight="1" ht="19.5">
      <c r="A37" s="31"/>
      <c r="B37" s="24">
        <v>30</v>
      </c>
      <c r="C37" s="25"/>
      <c r="D37" s="26"/>
      <c r="E37" s="27" t="str">
        <f>IF(D37&lt;&gt;"",ROUND(D37*0.25,0),"")</f>
        <v/>
      </c>
      <c r="F37" s="28"/>
      <c r="G37" s="29" t="str">
        <f>IF(F37&lt;&gt;"",ROUND(F37*0.25,0),"")</f>
        <v/>
      </c>
      <c r="H37" s="28"/>
      <c r="I37" s="27" t="str">
        <f>IF(H37&lt;&gt;"",ROUND(H37*0.25,0),"")</f>
        <v/>
      </c>
      <c r="J37" s="28"/>
      <c r="K37" s="30" t="str">
        <f>IF(J37&lt;&gt;"",ROUND(J37*0.25,0),"")</f>
        <v/>
      </c>
      <c r="L37" s="31" t="str">
        <f>IF(E37&lt;&gt;"",IF(#REF!="",E37+G37+I37+K37,E37+G37+I37+K37+#REF!),"")</f>
        <v/>
      </c>
    </row>
    <row r="38" spans="1:25" customHeight="1" ht="19.5">
      <c r="B38" s="54" t="s">
        <v>43</v>
      </c>
      <c r="C38" s="55"/>
      <c r="D38" s="33">
        <f>IF(SUM(D8:D37)=0,"",AVERAGE(D8:D37))</f>
        <v>64.321428571429</v>
      </c>
      <c r="E38" s="34">
        <f>IF(SUM(E8:E37)=0,"",AVERAGE(E8:E37))</f>
        <v>16.142857142857</v>
      </c>
      <c r="F38" s="35">
        <f>IF(SUM(F8:F37)=0,"",AVERAGE(F8:F37))</f>
        <v>60.678571428571</v>
      </c>
      <c r="G38" s="36">
        <f>IF(SUM(G8:G37)=0,"",AVERAGE(G8:G37))</f>
        <v>15.214285714286</v>
      </c>
      <c r="H38" s="37">
        <f>IF(SUM(H8:H37)=0,"",AVERAGE(H8:H37))</f>
        <v>70</v>
      </c>
      <c r="I38" s="38">
        <f>IF(SUM(I8:I37)=0,"",AVERAGE(I8:I37))</f>
        <v>17.535714285714</v>
      </c>
      <c r="J38" s="37" t="str">
        <f>IF(SUM(J8:J37)=0,"",AVERAGE(J8:J37))</f>
        <v/>
      </c>
      <c r="K38" s="39" t="str">
        <f>IF(SUM(K8:K37)=0,"",AVERAGE(K8:K37))</f>
        <v/>
      </c>
      <c r="L38" s="40" t="e">
        <f>IF(SUM(L8:L37)=0,"",AVERAGE(L8:L37))</f>
        <v>#DIV/0!</v>
      </c>
    </row>
    <row r="39" spans="1:25" customHeight="1" ht="19.5">
      <c r="B39" s="56" t="s">
        <v>44</v>
      </c>
      <c r="C39" s="57"/>
      <c r="D39" s="33">
        <f>IF(SUM(D8:D37)=0,"",MEDIAN(D8:D37))</f>
        <v>65.5</v>
      </c>
      <c r="E39" s="34">
        <f>IF(SUM(E8:E37)=0,"",MEDIAN(E8:E37))</f>
        <v>16.5</v>
      </c>
      <c r="F39" s="35">
        <f>IF(SUM(F8:F37)=0,"",MEDIAN(F8:F37))</f>
        <v>62</v>
      </c>
      <c r="G39" s="36">
        <f>IF(SUM(G8:G37)=0,"",MEDIAN(G8:G37))</f>
        <v>15.5</v>
      </c>
      <c r="H39" s="37">
        <f>IF(SUM(H8:H37)=0,"",MEDIAN(H8:H37))</f>
        <v>79</v>
      </c>
      <c r="I39" s="38">
        <f>IF(SUM(I8:I37)=0,"",MEDIAN(I8:I37))</f>
        <v>20</v>
      </c>
      <c r="J39" s="37" t="str">
        <f>IF(SUM(J8:J37)=0,"",MEDIAN(J8:J37))</f>
        <v/>
      </c>
      <c r="K39" s="39" t="str">
        <f>IF(SUM(K8:K37)=0,"",MEDIAN(K8:K37))</f>
        <v/>
      </c>
      <c r="L39" s="40" t="e">
        <f>IF(SUM(L8:L37)=0,"",MEDIAN(L8:L37))</f>
        <v>#NUM!</v>
      </c>
    </row>
    <row r="40" spans="1:25" customHeight="1" ht="19.5">
      <c r="B40" s="56" t="s">
        <v>45</v>
      </c>
      <c r="C40" s="57"/>
      <c r="D40" s="33">
        <f>IF(SUM(D8:D37)=0,"",MAX(D8:D37))</f>
        <v>80</v>
      </c>
      <c r="E40" s="34">
        <f>IF(SUM(E8:E37)=0,"",MAX(E8:E37))</f>
        <v>20</v>
      </c>
      <c r="F40" s="35">
        <f>IF(SUM(F8:F37)=0,"",MAX(F8:F37))</f>
        <v>85</v>
      </c>
      <c r="G40" s="36">
        <f>IF(SUM(G8:G37)=0,"",MAX(G8:G37))</f>
        <v>21</v>
      </c>
      <c r="H40" s="37">
        <f>IF(SUM(H8:H37)=0,"",MAX(H8:H37))</f>
        <v>85</v>
      </c>
      <c r="I40" s="38">
        <f>IF(SUM(I8:I37)=0,"",MAX(I8:I37))</f>
        <v>21</v>
      </c>
      <c r="J40" s="37" t="str">
        <f>IF(SUM(J8:J37)=0,"",MAX(J8:J37))</f>
        <v/>
      </c>
      <c r="K40" s="39" t="str">
        <f>IF(SUM(K8:K37)=0,"",MAX(K8:K37))</f>
        <v/>
      </c>
      <c r="L40" s="40" t="e">
        <f>IF(SUM(L8:L37)=0,"",MAX(L8:L37))</f>
        <v>#VALUE!</v>
      </c>
    </row>
    <row r="41" spans="1:25" customHeight="1" ht="19.5">
      <c r="B41" s="56" t="s">
        <v>46</v>
      </c>
      <c r="C41" s="57"/>
      <c r="D41" s="33">
        <f>IF(SUM(D8:D37)=0,"",MIN(D8:D37))</f>
        <v>41</v>
      </c>
      <c r="E41" s="34">
        <f>IF(SUM(E8:E37)=0,"",MIN(E8:E37))</f>
        <v>10</v>
      </c>
      <c r="F41" s="35">
        <f>IF(SUM(F8:F37)=0,"",MIN(F8:F37))</f>
        <v>33</v>
      </c>
      <c r="G41" s="36">
        <f>IF(SUM(G8:G37)=0,"",MIN(G8:G37))</f>
        <v>8</v>
      </c>
      <c r="H41" s="37">
        <f>IF(SUM(H8:H37)=0,"",MIN(H8:H37))</f>
        <v>21</v>
      </c>
      <c r="I41" s="38">
        <f>IF(SUM(I8:I37)=0,"",MIN(I8:I37))</f>
        <v>5</v>
      </c>
      <c r="J41" s="37" t="str">
        <f>IF(SUM(J8:J37)=0,"",MIN(J8:J37))</f>
        <v/>
      </c>
      <c r="K41" s="39" t="str">
        <f>IF(SUM(K8:K37)=0,"",MIN(K8:K37))</f>
        <v/>
      </c>
      <c r="L41" s="40" t="e">
        <f>IF(SUM(L8:L37)=0,"",MIN(L8:L37))</f>
        <v>#VALUE!</v>
      </c>
    </row>
    <row r="42" spans="1:25" customHeight="1" ht="19.5">
      <c r="B42" s="58" t="s">
        <v>47</v>
      </c>
      <c r="C42" s="59"/>
      <c r="D42" s="41">
        <f>IF(D38="","",COUNTIF(D8:D37,"&lt;51")/COUNT(D8:D37)*100)</f>
        <v>10.714285714286</v>
      </c>
      <c r="E42" s="42">
        <f>IF(E38="","",COUNTIF(E8:E37,"&lt;51")/COUNT(E8:E37)*100)</f>
        <v>100</v>
      </c>
      <c r="F42" s="43">
        <f>IF(F38="","",COUNTIF(F8:F37,"&lt;51")/COUNT(F8:F37)*100)</f>
        <v>35.714285714286</v>
      </c>
      <c r="G42" s="44">
        <f>IF(G38="","",COUNTIF(G8:G37,"&lt;51")/COUNT(G8:G37)*100)</f>
        <v>100</v>
      </c>
      <c r="H42" s="45">
        <f>IF(H38="","",COUNTIF(H8:H37,"&lt;51")/COUNT(H8:H37)*100)</f>
        <v>21.428571428571</v>
      </c>
      <c r="I42" s="46">
        <f>IF(I38="","",COUNTIF(I8:I37,"&lt;51")/COUNT(I8:I37)*100)</f>
        <v>100</v>
      </c>
      <c r="J42" s="45" t="str">
        <f>IF(J38="","",COUNTIF(J8:J37,"&lt;51")/COUNT(J8:J37)*100)</f>
        <v/>
      </c>
      <c r="K42" s="47" t="str">
        <f>IF(K38="","",COUNTIF(K8:K37,"&lt;51")/COUNT(K8:K37)*100)</f>
        <v/>
      </c>
      <c r="L42" s="48" t="e">
        <f>IF(L38="","",COUNTIF(L8:L37,"&lt;51")/COUNT(L8:L37)*100)</f>
        <v>#DIV/0!</v>
      </c>
    </row>
    <row r="43" spans="1:25">
      <c r="A43" t="s">
        <v>48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1" spans="1:25">
      <c r="E51" s="52"/>
      <c r="F51" s="53"/>
      <c r="G51" s="53"/>
      <c r="H51" s="53"/>
      <c r="I51" s="53"/>
      <c r="J51" s="53"/>
      <c r="K51" s="53"/>
    </row>
    <row r="52" spans="1:25">
      <c r="E52" s="53"/>
      <c r="F52" s="53"/>
      <c r="G52" s="53"/>
      <c r="H52" s="53"/>
      <c r="I52" s="53"/>
      <c r="J52" s="53"/>
      <c r="K52" s="53"/>
    </row>
  </sheetData>
  <mergeCells>
    <mergeCell ref="B2:L2"/>
    <mergeCell ref="B3:L3"/>
    <mergeCell ref="B4:L4"/>
    <mergeCell ref="B5:L5"/>
    <mergeCell ref="H6:I6"/>
    <mergeCell ref="J6:K6"/>
    <mergeCell ref="B6:B7"/>
    <mergeCell ref="C6:C7"/>
    <mergeCell ref="D6:E6"/>
    <mergeCell ref="F6:G6"/>
    <mergeCell ref="A6:A7"/>
    <mergeCell ref="E51:K51"/>
    <mergeCell ref="E52:K52"/>
    <mergeCell ref="B38:C38"/>
    <mergeCell ref="B39:C39"/>
    <mergeCell ref="B40:C40"/>
    <mergeCell ref="B41:C41"/>
    <mergeCell ref="B42:C42"/>
  </mergeCells>
  <conditionalFormatting sqref="L8:L37">
    <cfRule type="cellIs" dxfId="0" priority="1" operator="between">
      <formula>1</formula>
      <formula>50</formula>
    </cfRule>
  </conditionalFormatting>
  <printOptions gridLines="false" gridLinesSet="true"/>
  <pageMargins left="0.25601851851852" right="0.25" top="0.21875" bottom="0.75" header="0.3" footer="0.3"/>
  <pageSetup paperSize="1" orientation="portrait" scale="77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dcterms:created xsi:type="dcterms:W3CDTF">2017-03-29T10:31:37-05:00</dcterms:created>
  <dcterms:modified xsi:type="dcterms:W3CDTF">2026-05-06T09:44:06-05:00</dcterms:modified>
  <dc:title/>
  <dc:description/>
  <dc:subject/>
  <cp:keywords/>
  <cp:category/>
</cp:coreProperties>
</file>
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<sst xmlns="http://schemas.openxmlformats.org/spreadsheetml/2006/main" uniqueCount="64">
  <si>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CENTRALIZADOR INTERNO DE NOTAS</t>
  </si>
  <si>
    <t>(CONSEJEROS Y DIRECCIONES TÉCNICAS)</t>
  </si>
  <si>
    <t>GESTIÓN 2026 NOTAS OFICIALES</t>
  </si>
  <si>
    <t>1RO PRIMARIA GUINDO</t>
  </si>
  <si>
    <t>Nº</t>
  </si>
  <si>
    <t>APELLIDOS Y NOMBRES</t>
  </si>
  <si>
    <t>Leng. e Inglés</t>
  </si>
  <si>
    <t>E. Sociales</t>
  </si>
  <si>
    <t>E. Física</t>
  </si>
  <si>
    <t>Música</t>
  </si>
  <si>
    <t>Art</t>
  </si>
  <si>
    <t>Matemáticas</t>
  </si>
  <si>
    <t>Computación</t>
  </si>
  <si>
    <t>Scien. Y C. Nat.</t>
  </si>
  <si>
    <t>F. Humana</t>
  </si>
  <si>
    <t>PROMEDIO</t>
  </si>
  <si>
    <t>Lenguaje [50%]</t>
  </si>
  <si>
    <t>Reading</t>
  </si>
  <si>
    <t>Grammar</t>
  </si>
  <si>
    <t>Inglés [50%]</t>
  </si>
  <si>
    <t>Leng. e Inglés [100%]</t>
  </si>
  <si>
    <t>Science</t>
  </si>
  <si>
    <t>C. Naturales</t>
  </si>
  <si>
    <t>T1</t>
  </si>
  <si>
    <t>T2</t>
  </si>
  <si>
    <t>T3</t>
  </si>
  <si>
    <t>PA</t>
  </si>
  <si>
    <t>P1</t>
  </si>
  <si>
    <t>P2</t>
  </si>
  <si>
    <t>P3</t>
  </si>
  <si>
    <t>PF</t>
  </si>
  <si>
    <t>ANGULO POL OCTAVIO</t>
  </si>
  <si>
    <t>BARRIENTOS GONZALES UCUMARI JULIANA MARTINA</t>
  </si>
  <si>
    <t>CAMACHO ORELLANA TADEO FRANCISCO</t>
  </si>
  <si>
    <t>CASTELLON QUIROZ MAURICIO ALONZO</t>
  </si>
  <si>
    <t>CASTRO VARGAS AMELIA</t>
  </si>
  <si>
    <t>DEL CARPIO CONDARCO NORA</t>
  </si>
  <si>
    <t>FLORES GOTTLIEB SANTIAGO</t>
  </si>
  <si>
    <t>GONZALEZ ARCE AMAYA CAMILA</t>
  </si>
  <si>
    <t>IBAÑEZ VILLARROEL AMELIA</t>
  </si>
  <si>
    <t>JIMENEZ LACAZE BRUNO</t>
  </si>
  <si>
    <t>QUIROGA MORRIS MARTINA</t>
  </si>
  <si>
    <t>ROJAS MAYER ALANA</t>
  </si>
  <si>
    <t>SAAVEDRA QUEZADA EMILIA REBECA</t>
  </si>
  <si>
    <t>SANDOVAL ESCOBAR JOAQUIN</t>
  </si>
  <si>
    <t>SUAREZ CAYUBA SERGIO ANDRE</t>
  </si>
  <si>
    <t>TAPIA PASSOS MADELEINE ELLE</t>
  </si>
  <si>
    <t>TORRES TORREZ EMA</t>
  </si>
  <si>
    <t>VALENZUELA SAAVEDRA MARTINA</t>
  </si>
  <si>
    <t>VARGAS TORO AGUSTINA</t>
  </si>
  <si>
    <t>VILLARROEL POLO IGNACIO ANDRES</t>
  </si>
  <si>
    <t>VISCARRA QUIROGA LUCAS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</si>
  <si>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</si>
  <si>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</si>
  <si>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</si>
  <si>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</si>
  <si>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</si>
  <si>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</si>
  <si>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</si>
  <si>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</si>
  <si>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</si>
  <si>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2</t>
  </si>
  <si>
    <t>2 de 2</t>
  </si>
  <si>
    <t>Generado el : 04/05/2026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</si>
</sst>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true"/>
    </xf>
    <xf xfId="0" fontId="1" numFmtId="0" fillId="0" borderId="7" applyFont="1" applyNumberFormat="0" applyFill="0" applyBorder="1" applyAlignment="1">
      <alignment horizontal="center" vertical="center" textRotation="0" wrapText="false" shrinkToFit="true"/>
    </xf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2" borderId="6" applyFont="1" applyNumberFormat="0" applyFill="1" applyBorder="1" applyAlignment="1">
      <alignment horizontal="center" vertical="center" textRotation="0" wrapText="false" shrinkToFit="true"/>
    </xf>
    <xf xfId="0" fontId="1" numFmtId="0" fillId="2" borderId="7" applyFont="1" applyNumberFormat="0" applyFill="1" applyBorder="1" applyAlignment="1">
      <alignment horizontal="center" vertical="center" textRotation="0" wrapText="false" shrinkToFit="true"/>
    </xf>
    <xf xfId="0" fontId="1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1" fillId="2" borderId="9" applyFont="1" applyNumberFormat="1" applyFill="1" applyBorder="1" applyAlignment="1">
      <alignment horizontal="center" vertical="center" textRotation="0" wrapText="false" shrinkToFit="true"/>
    </xf>
    <xf xfId="0" fontId="2" numFmtId="0" fillId="0" borderId="6" applyFont="1" applyNumberFormat="0" applyFill="0" applyBorder="1" applyAlignment="1">
      <alignment horizontal="center" vertical="center" textRotation="0" wrapText="false" shrinkToFit="true"/>
    </xf>
    <xf xfId="0" fontId="2" numFmtId="0" fillId="0" borderId="7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0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center" vertical="center" textRotation="0" wrapText="false" shrinkToFit="true"/>
    </xf>
    <xf xfId="0" fontId="1" numFmtId="0" fillId="0" borderId="1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6" applyFont="1" applyNumberFormat="0" applyFill="0" applyBorder="1" applyAlignment="1">
      <alignment horizontal="center" vertical="center" textRotation="0" wrapText="false" shrinkToFit="true"/>
    </xf>
    <xf xfId="0" fontId="1" numFmtId="0" fillId="2" borderId="12" applyFont="1" applyNumberFormat="0" applyFill="1" applyBorder="1" applyAlignment="1">
      <alignment horizontal="center" vertical="center" textRotation="0" wrapText="false" shrinkToFit="true"/>
    </xf>
    <xf xfId="0" fontId="1" numFmtId="0" fillId="2" borderId="13" applyFont="1" applyNumberFormat="0" applyFill="1" applyBorder="1" applyAlignment="1">
      <alignment horizontal="center" vertical="center" textRotation="0" wrapText="false" shrinkToFit="true"/>
    </xf>
    <xf xfId="0" fontId="1" numFmtId="0" fillId="2" borderId="14" applyFont="1" applyNumberFormat="0" applyFill="1" applyBorder="1" applyAlignment="1">
      <alignment horizontal="center" vertical="center" textRotation="0" wrapText="false" shrinkToFit="true"/>
    </xf>
    <xf xfId="0" fontId="1" numFmtId="1" fillId="2" borderId="15" applyFont="1" applyNumberFormat="1" applyFill="1" applyBorder="1" applyAlignment="1">
      <alignment horizontal="center" vertical="center" textRotation="0" wrapText="false" shrinkToFit="true"/>
    </xf>
    <xf xfId="0" fontId="2" numFmtId="0" fillId="0" borderId="12" applyFont="1" applyNumberFormat="0" applyFill="0" applyBorder="1" applyAlignment="1">
      <alignment horizontal="center" vertical="center" textRotation="0" wrapText="false" shrinkToFit="true"/>
    </xf>
    <xf xfId="0" fontId="2" numFmtId="0" fillId="0" borderId="13" applyFont="1" applyNumberFormat="0" applyFill="0" applyBorder="1" applyAlignment="1">
      <alignment horizontal="center" vertical="center" textRotation="0" wrapText="false" shrinkToFit="true"/>
    </xf>
    <xf xfId="0" fontId="2" numFmtId="0" fillId="0" borderId="14" applyFont="1" applyNumberFormat="0" applyFill="0" applyBorder="1" applyAlignment="1">
      <alignment horizontal="center" vertical="center" textRotation="0" wrapText="false" shrinkToFit="true"/>
    </xf>
    <xf xfId="0" fontId="2" numFmtId="0" fillId="0" borderId="15" applyFont="1" applyNumberFormat="0" applyFill="0" applyBorder="1" applyAlignment="1">
      <alignment horizontal="center" vertical="center" textRotation="0" wrapText="false" shrinkToFit="true"/>
    </xf>
    <xf xfId="0" fontId="2" numFmtId="0" fillId="0" borderId="16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18" applyFont="1" applyNumberFormat="0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2" borderId="2" applyFont="1" applyNumberFormat="0" applyFill="1" applyBorder="1" applyAlignment="1">
      <alignment horizontal="center" vertical="center" textRotation="0" wrapText="false" shrinkToFit="true"/>
    </xf>
    <xf xfId="0" fontId="1" numFmtId="0" fillId="2" borderId="3" applyFont="1" applyNumberFormat="0" applyFill="1" applyBorder="1" applyAlignment="1">
      <alignment horizontal="center" vertical="center" textRotation="0" wrapText="false" shrinkToFit="true"/>
    </xf>
    <xf xfId="0" fontId="1" numFmtId="1" fillId="2" borderId="4" applyFont="1" applyNumberFormat="1" applyFill="1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center" vertical="center" textRotation="0" wrapText="false" shrinkToFit="true"/>
    </xf>
    <xf xfId="0" fontId="2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4" applyFont="1" applyNumberFormat="0" applyFill="0" applyBorder="1" applyAlignment="1">
      <alignment horizontal="center" vertical="center" textRotation="0" wrapText="false" shrinkToFit="true"/>
    </xf>
    <xf xfId="0" fontId="2" numFmtId="0" fillId="0" borderId="18" applyFont="1" applyNumberFormat="0" applyFill="0" applyBorder="1" applyAlignment="1">
      <alignment horizontal="center" vertical="center" textRotation="0" wrapText="false" shrinkToFit="true"/>
    </xf>
    <xf xfId="0" fontId="2" numFmtId="0" fillId="0" borderId="19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0" fillId="0" borderId="21" applyFont="1" applyNumberFormat="0" applyFill="0" applyBorder="1" applyAlignment="1">
      <alignment horizontal="center" vertical="center" textRotation="0" wrapText="false" shrinkToFit="false"/>
    </xf>
    <xf xfId="0" fontId="3" numFmtId="0" fillId="0" borderId="22" applyFont="1" applyNumberFormat="0" applyFill="0" applyBorder="1" applyAlignment="1">
      <alignment horizontal="center" vertical="center" textRotation="0" wrapText="false" shrinkToFit="false"/>
    </xf>
    <xf xfId="0" fontId="3" numFmtId="0" fillId="0" borderId="23" applyFont="1" applyNumberFormat="0" applyFill="0" applyBorder="1" applyAlignment="1">
      <alignment horizontal="center" vertical="center" textRotation="0" wrapText="false" shrinkToFit="false"/>
    </xf>
    <xf xfId="0" fontId="3" numFmtId="0" fillId="0" borderId="24" applyFont="1" applyNumberFormat="0" applyFill="0" applyBorder="1" applyAlignment="1">
      <alignment horizontal="center" vertic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horizontal="center" vertical="center" textRotation="0" wrapText="false" shrinkToFit="false"/>
    </xf>
    <xf xfId="0" fontId="3" numFmtId="0" fillId="2" borderId="14" applyFont="1" applyNumberFormat="0" applyFill="1" applyBorder="1" applyAlignment="1">
      <alignment horizontal="center" vertical="center" textRotation="0" wrapText="false" shrinkToFit="false"/>
    </xf>
    <xf xfId="0" fontId="3" numFmtId="0" fillId="2" borderId="15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center" vertical="center" textRotation="0" wrapText="false" shrinkToFit="false"/>
    </xf>
    <xf xfId="0" fontId="4" numFmtId="0" fillId="0" borderId="15" applyFont="1" applyNumberFormat="0" applyFill="0" applyBorder="1" applyAlignment="1">
      <alignment horizontal="center" vertical="center" textRotation="0" wrapText="false" shrinkToFit="false"/>
    </xf>
    <xf xfId="0" fontId="4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18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25" applyFont="1" applyNumberFormat="0" applyFill="0" applyBorder="1" applyAlignment="1">
      <alignment horizontal="center" textRotation="0" wrapText="false" shrinkToFit="false"/>
    </xf>
    <xf xfId="0" fontId="2" numFmtId="0" fillId="0" borderId="6" applyFont="1" applyNumberFormat="0" applyFill="0" applyBorder="1" applyAlignment="1">
      <alignment horizontal="center" textRotation="0" wrapText="false" shrinkToFit="false"/>
    </xf>
    <xf xfId="0" fontId="2" numFmtId="0" fillId="0" borderId="7" applyFont="1" applyNumberFormat="0" applyFill="0" applyBorder="1" applyAlignment="1">
      <alignment horizontal="center" textRotation="0" wrapText="false" shrinkToFit="false"/>
    </xf>
    <xf xfId="0" fontId="2" numFmtId="0" fillId="0" borderId="8" applyFont="1" applyNumberFormat="0" applyFill="0" applyBorder="1" applyAlignment="1">
      <alignment horizontal="center" textRotation="0" wrapText="false" shrinkToFit="false"/>
    </xf>
    <xf xfId="0" fontId="2" numFmtId="0" fillId="0" borderId="9" applyFont="1" applyNumberFormat="0" applyFill="0" applyBorder="1" applyAlignment="1">
      <alignment horizontal="center" textRotation="0" wrapText="false" shrinkToFit="false"/>
    </xf>
    <xf xfId="0" fontId="1" numFmtId="0" fillId="0" borderId="6" applyFont="1" applyNumberFormat="0" applyFill="0" applyBorder="1" applyAlignment="1">
      <alignment horizontal="center" textRotation="0" wrapText="false" shrinkToFit="false"/>
    </xf>
    <xf xfId="0" fontId="1" numFmtId="0" fillId="0" borderId="7" applyFont="1" applyNumberFormat="0" applyFill="0" applyBorder="1" applyAlignment="1">
      <alignment horizontal="center" textRotation="0" wrapText="false" shrinkToFit="false"/>
    </xf>
    <xf xfId="0" fontId="1" numFmtId="0" fillId="0" borderId="8" applyFont="1" applyNumberFormat="0" applyFill="0" applyBorder="1" applyAlignment="1">
      <alignment horizontal="center" textRotation="0" wrapText="false" shrinkToFit="false"/>
    </xf>
    <xf xfId="0" fontId="1" numFmtId="0" fillId="0" borderId="9" applyFont="1" applyNumberFormat="0" applyFill="0" applyBorder="1" applyAlignment="1">
      <alignment horizont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26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textRotation="0" wrapText="false" shrinkToFit="false"/>
    </xf>
    <xf xfId="0" fontId="4" numFmtId="0" fillId="0" borderId="28" applyFont="1" applyNumberFormat="0" applyFill="0" applyBorder="1" applyAlignment="1">
      <alignment horizontal="center" vertical="center" textRotation="0" wrapText="false" shrinkToFit="false"/>
    </xf>
    <xf xfId="0" fontId="4" numFmtId="0" fillId="0" borderId="29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0" borderId="31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28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textRotation="0" wrapText="false" shrinkToFit="false"/>
    </xf>
    <xf xfId="0" fontId="1" numFmtId="0" fillId="2" borderId="6" applyFont="1" applyNumberFormat="0" applyFill="1" applyBorder="1" applyAlignment="1">
      <alignment horizontal="center" textRotation="0" wrapText="false" shrinkToFit="false"/>
    </xf>
    <xf xfId="0" fontId="1" numFmtId="0" fillId="2" borderId="7" applyFont="1" applyNumberFormat="0" applyFill="1" applyBorder="1" applyAlignment="1">
      <alignment horizontal="center" textRotation="0" wrapText="false" shrinkToFit="false"/>
    </xf>
    <xf xfId="0" fontId="1" numFmtId="0" fillId="2" borderId="8" applyFont="1" applyNumberFormat="0" applyFill="1" applyBorder="1" applyAlignment="1">
      <alignment horizontal="center" textRotation="0" wrapText="false" shrinkToFit="false"/>
    </xf>
    <xf xfId="0" fontId="1" numFmtId="0" fillId="2" borderId="9" applyFont="1" applyNumberFormat="0" applyFill="1" applyBorder="1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df8693b8a81523f4b7e03e27523913.png"/><Relationship Id="rId2" Type="http://schemas.openxmlformats.org/officeDocument/2006/relationships/image" Target="../media/5ddf8693b8a81523f4b7e03e275239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981075</xdr:colOff>
      <xdr:row>4</xdr:row>
      <xdr:rowOff>104775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28725" cy="83820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43</xdr:col>
      <xdr:colOff>952500</xdr:colOff>
      <xdr:row>4</xdr:row>
      <xdr:rowOff>95250</xdr:rowOff>
    </xdr:to>
    <xdr:pic>
      <xdr:nvPicPr>
        <xdr:cNvPr id="2" name="Imagen 5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287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58"/>
  <sheetViews>
    <sheetView tabSelected="1" workbookViewId="0" zoomScale="75" view="pageLayout" showGridLines="true" showRowColHeaders="1" topLeftCell="AL1">
      <selection activeCell="AX21" sqref="AX21"/>
    </sheetView>
  </sheetViews>
  <sheetFormatPr defaultRowHeight="14.4" outlineLevelRow="0" outlineLevelCol="0"/>
  <cols>
    <col min="1" max="1" width="3.5546875" customWidth="true" style="0"/>
    <col min="2" max="2" width="39.6640625" customWidth="true" style="0"/>
    <col min="3" max="3" width="4.6640625" customWidth="true" style="0"/>
    <col min="4" max="4" width="4.6640625" customWidth="true" style="0"/>
    <col min="5" max="5" width="4.6640625" customWidth="true" style="2"/>
    <col min="6" max="6" width="4.6640625" customWidth="true" style="0"/>
    <col min="7" max="7" width="4.6640625" customWidth="true" style="0"/>
    <col min="8" max="8" width="4.6640625" customWidth="true" style="0"/>
    <col min="9" max="9" width="4.6640625" customWidth="true" style="2"/>
    <col min="10" max="10" width="4.6640625" customWidth="true" style="0"/>
    <col min="11" max="11" width="4.6640625" customWidth="true" style="0"/>
    <col min="12" max="12" width="4.6640625" customWidth="true" style="0"/>
    <col min="13" max="13" width="4.6640625" customWidth="true" style="2"/>
    <col min="14" max="14" width="4.6640625" customWidth="true" style="0"/>
    <col min="15" max="15" width="4.6640625" customWidth="true" style="0"/>
    <col min="16" max="16" width="4.6640625" customWidth="true" style="0"/>
    <col min="17" max="17" width="4.6640625" customWidth="true" style="2"/>
    <col min="18" max="18" width="4.6640625" customWidth="true" style="0"/>
    <col min="19" max="19" width="4.6640625" customWidth="true" style="0"/>
    <col min="20" max="20" width="4.6640625" customWidth="true" style="0"/>
    <col min="21" max="21" width="4.6640625" customWidth="true" style="2"/>
    <col min="22" max="22" width="4.6640625" customWidth="true" style="0"/>
    <col min="23" max="23" width="4.6640625" customWidth="true" style="0"/>
    <col min="24" max="24" width="4.6640625" customWidth="true" style="0"/>
    <col min="25" max="25" width="4.6640625" customWidth="true" style="2"/>
    <col min="26" max="26" width="4.6640625" customWidth="true" style="0"/>
    <col min="27" max="27" width="4.6640625" customWidth="true" style="0"/>
    <col min="28" max="28" width="4.6640625" customWidth="true" style="0"/>
    <col min="29" max="29" width="4.6640625" customWidth="true" style="2"/>
    <col min="30" max="30" width="4.6640625" customWidth="true" style="0"/>
    <col min="31" max="31" width="4.6640625" customWidth="true" style="0"/>
    <col min="32" max="32" width="4.6640625" customWidth="true" style="0"/>
    <col min="33" max="33" width="4.6640625" customWidth="true" style="2"/>
    <col min="34" max="34" width="4.6640625" customWidth="true" style="0"/>
    <col min="35" max="35" width="4.6640625" customWidth="true" style="0"/>
    <col min="36" max="36" width="4.6640625" customWidth="true" style="0"/>
    <col min="37" max="37" width="4.6640625" customWidth="true" style="2"/>
    <col min="38" max="38" width="4.6640625" customWidth="true" style="0"/>
    <col min="39" max="39" width="4.6640625" customWidth="true" style="0"/>
    <col min="40" max="40" width="4.6640625" customWidth="true" style="0"/>
    <col min="41" max="41" width="4.6640625" customWidth="true" style="2"/>
    <col min="42" max="42" width="4.6640625" customWidth="true" style="0"/>
    <col min="43" max="43" width="3.88671875" customWidth="true" style="0"/>
    <col min="44" max="44" width="38.6640625" customWidth="true" style="0"/>
    <col min="45" max="45" width="4.6640625" customWidth="true" style="0"/>
    <col min="46" max="46" width="4.6640625" customWidth="true" style="0"/>
    <col min="47" max="47" width="4.6640625" customWidth="true" style="0"/>
    <col min="48" max="48" width="4.6640625" customWidth="true" style="0"/>
    <col min="49" max="49" width="4.6640625" customWidth="true" style="0"/>
    <col min="50" max="50" width="4.6640625" customWidth="true" style="0"/>
    <col min="51" max="51" width="4.6640625" customWidth="true" style="0"/>
    <col min="52" max="52" width="4.6640625" customWidth="true" style="0"/>
    <col min="53" max="53" width="4.6640625" customWidth="true" style="0"/>
    <col min="54" max="54" width="4.6640625" customWidth="true" style="0"/>
    <col min="55" max="55" width="4.6640625" customWidth="true" style="0"/>
    <col min="56" max="56" width="4.6640625" customWidth="true" style="0"/>
    <col min="57" max="57" width="4.6640625" customWidth="true" style="0"/>
    <col min="58" max="58" width="4.6640625" customWidth="true" style="0"/>
    <col min="59" max="59" width="4.6640625" customWidth="true" style="0"/>
    <col min="60" max="60" width="4.6640625" customWidth="true" style="0"/>
    <col min="61" max="61" width="4.6640625" customWidth="true" style="0"/>
    <col min="62" max="62" width="4.6640625" customWidth="true" style="0"/>
    <col min="63" max="63" width="4.6640625" customWidth="true" style="0"/>
    <col min="64" max="64" width="4.6640625" customWidth="true" style="0"/>
    <col min="65" max="65" width="4.6640625" customWidth="true" style="0"/>
    <col min="66" max="66" width="4.6640625" customWidth="true" style="0"/>
    <col min="67" max="67" width="4.6640625" customWidth="true" style="0"/>
    <col min="68" max="68" width="4.6640625" customWidth="true" style="0"/>
    <col min="69" max="69" width="4.6640625" customWidth="true" style="0"/>
    <col min="70" max="70" width="4.6640625" customWidth="true" style="0"/>
    <col min="71" max="71" width="4.6640625" customWidth="true" style="0"/>
    <col min="72" max="72" width="4.6640625" customWidth="true" style="0"/>
    <col min="73" max="73" width="4.6640625" customWidth="true" style="0"/>
    <col min="74" max="74" width="4.6640625" customWidth="true" style="0"/>
    <col min="75" max="75" width="4.6640625" customWidth="true" style="0"/>
    <col min="76" max="76" width="4.6640625" customWidth="true" style="0"/>
    <col min="77" max="77" width="3.6640625" customWidth="true" style="0"/>
    <col min="78" max="78" width="3.6640625" customWidth="true" style="0"/>
  </cols>
  <sheetData>
    <row r="1" spans="1:80">
      <c r="A1"/>
      <c r="AQ1"/>
    </row>
    <row r="2" spans="1:80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 t="str">
        <f>IF(A2="","",A2)</f>
        <v>CENTRALIZADOR INTERNO DE NOTAS</v>
      </c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</row>
    <row r="3" spans="1:80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 t="str">
        <f>IF(A3="","",A3)</f>
        <v>(CONSEJEROS Y DIRECCIONES TÉCNICAS)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</row>
    <row r="4" spans="1:80">
      <c r="A4" s="101" t="s">
        <v>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 t="str">
        <f>IF(A4="","",A4)</f>
        <v>GESTIÓN 2026 NOTAS OFICIALES</v>
      </c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</row>
    <row r="5" spans="1:80" customHeight="1" ht="15.6">
      <c r="A5" s="102" t="s">
        <v>3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 t="str">
        <f>IF(A5="","",A5)</f>
        <v>1RO PRIMARIA GUINDO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</row>
    <row r="6" spans="1:80" customHeight="1" ht="17.25">
      <c r="A6" s="120" t="s">
        <v>4</v>
      </c>
      <c r="B6" s="118" t="s">
        <v>5</v>
      </c>
      <c r="C6" s="107" t="s">
        <v>6</v>
      </c>
      <c r="D6" s="108"/>
      <c r="E6" s="109"/>
      <c r="F6" s="110"/>
      <c r="G6" s="107" t="s">
        <v>7</v>
      </c>
      <c r="H6" s="108"/>
      <c r="I6" s="109"/>
      <c r="J6" s="110"/>
      <c r="K6" s="122" t="s">
        <v>8</v>
      </c>
      <c r="L6" s="108"/>
      <c r="M6" s="109"/>
      <c r="N6" s="109"/>
      <c r="O6" s="107" t="s">
        <v>9</v>
      </c>
      <c r="P6" s="108"/>
      <c r="Q6" s="109"/>
      <c r="R6" s="110"/>
      <c r="S6" s="107" t="s">
        <v>10</v>
      </c>
      <c r="T6" s="108"/>
      <c r="U6" s="109"/>
      <c r="V6" s="110"/>
      <c r="W6" s="122" t="s">
        <v>11</v>
      </c>
      <c r="X6" s="108"/>
      <c r="Y6" s="109"/>
      <c r="Z6" s="109"/>
      <c r="AA6" s="107" t="s">
        <v>12</v>
      </c>
      <c r="AB6" s="108"/>
      <c r="AC6" s="109"/>
      <c r="AD6" s="110"/>
      <c r="AE6" s="107" t="s">
        <v>13</v>
      </c>
      <c r="AF6" s="108"/>
      <c r="AG6" s="109"/>
      <c r="AH6" s="110"/>
      <c r="AI6" s="122" t="s">
        <v>14</v>
      </c>
      <c r="AJ6" s="108"/>
      <c r="AK6" s="109"/>
      <c r="AL6" s="109"/>
      <c r="AM6" s="123" t="s">
        <v>15</v>
      </c>
      <c r="AN6" s="124"/>
      <c r="AO6" s="125"/>
      <c r="AP6" s="126"/>
      <c r="AQ6" s="120" t="s">
        <v>4</v>
      </c>
      <c r="AR6" s="118" t="s">
        <v>5</v>
      </c>
      <c r="AS6" s="103" t="s">
        <v>16</v>
      </c>
      <c r="AT6" s="104"/>
      <c r="AU6" s="105"/>
      <c r="AV6" s="106"/>
      <c r="AW6" s="115" t="s">
        <v>17</v>
      </c>
      <c r="AX6" s="104"/>
      <c r="AY6" s="105"/>
      <c r="AZ6" s="105"/>
      <c r="BA6" s="103" t="s">
        <v>18</v>
      </c>
      <c r="BB6" s="104"/>
      <c r="BC6" s="105"/>
      <c r="BD6" s="106"/>
      <c r="BE6" s="103" t="s">
        <v>19</v>
      </c>
      <c r="BF6" s="104"/>
      <c r="BG6" s="105"/>
      <c r="BH6" s="106"/>
      <c r="BI6" s="107" t="s">
        <v>20</v>
      </c>
      <c r="BJ6" s="108"/>
      <c r="BK6" s="109"/>
      <c r="BL6" s="110"/>
      <c r="BM6" s="103" t="s">
        <v>21</v>
      </c>
      <c r="BN6" s="104"/>
      <c r="BO6" s="105"/>
      <c r="BP6" s="105"/>
      <c r="BQ6" s="103" t="s">
        <v>22</v>
      </c>
      <c r="BR6" s="104"/>
      <c r="BS6" s="105"/>
      <c r="BT6" s="106"/>
      <c r="BU6" s="107" t="s">
        <v>13</v>
      </c>
      <c r="BV6" s="108"/>
      <c r="BW6" s="109"/>
      <c r="BX6" s="110"/>
    </row>
    <row r="7" spans="1:80" customHeight="1" ht="15.75">
      <c r="A7" s="121"/>
      <c r="B7" s="119"/>
      <c r="C7" s="3" t="s">
        <v>23</v>
      </c>
      <c r="D7" s="4" t="s">
        <v>24</v>
      </c>
      <c r="E7" s="5" t="s">
        <v>25</v>
      </c>
      <c r="F7" s="6" t="s">
        <v>26</v>
      </c>
      <c r="G7" s="3" t="s">
        <v>23</v>
      </c>
      <c r="H7" s="4" t="s">
        <v>24</v>
      </c>
      <c r="I7" s="5" t="s">
        <v>25</v>
      </c>
      <c r="J7" s="6" t="s">
        <v>26</v>
      </c>
      <c r="K7" s="3" t="s">
        <v>23</v>
      </c>
      <c r="L7" s="4" t="s">
        <v>24</v>
      </c>
      <c r="M7" s="5" t="s">
        <v>25</v>
      </c>
      <c r="N7" s="6" t="s">
        <v>26</v>
      </c>
      <c r="O7" s="3" t="s">
        <v>23</v>
      </c>
      <c r="P7" s="4" t="s">
        <v>24</v>
      </c>
      <c r="Q7" s="5" t="s">
        <v>25</v>
      </c>
      <c r="R7" s="6" t="s">
        <v>26</v>
      </c>
      <c r="S7" s="3" t="s">
        <v>23</v>
      </c>
      <c r="T7" s="4" t="s">
        <v>24</v>
      </c>
      <c r="U7" s="5" t="s">
        <v>25</v>
      </c>
      <c r="V7" s="6" t="s">
        <v>26</v>
      </c>
      <c r="W7" s="3" t="s">
        <v>23</v>
      </c>
      <c r="X7" s="4" t="s">
        <v>24</v>
      </c>
      <c r="Y7" s="5" t="s">
        <v>25</v>
      </c>
      <c r="Z7" s="6" t="s">
        <v>26</v>
      </c>
      <c r="AA7" s="3" t="s">
        <v>23</v>
      </c>
      <c r="AB7" s="4" t="s">
        <v>24</v>
      </c>
      <c r="AC7" s="5" t="s">
        <v>25</v>
      </c>
      <c r="AD7" s="6" t="s">
        <v>26</v>
      </c>
      <c r="AE7" s="3" t="s">
        <v>23</v>
      </c>
      <c r="AF7" s="4" t="s">
        <v>24</v>
      </c>
      <c r="AG7" s="5" t="s">
        <v>25</v>
      </c>
      <c r="AH7" s="6" t="s">
        <v>26</v>
      </c>
      <c r="AI7" s="3" t="s">
        <v>23</v>
      </c>
      <c r="AJ7" s="4" t="s">
        <v>24</v>
      </c>
      <c r="AK7" s="5" t="s">
        <v>25</v>
      </c>
      <c r="AL7" s="6" t="s">
        <v>26</v>
      </c>
      <c r="AM7" s="7" t="s">
        <v>27</v>
      </c>
      <c r="AN7" s="8" t="s">
        <v>28</v>
      </c>
      <c r="AO7" s="9" t="s">
        <v>29</v>
      </c>
      <c r="AP7" s="10" t="s">
        <v>30</v>
      </c>
      <c r="AQ7" s="121"/>
      <c r="AR7" s="119"/>
      <c r="AS7" s="11" t="s">
        <v>23</v>
      </c>
      <c r="AT7" s="12" t="s">
        <v>24</v>
      </c>
      <c r="AU7" s="13" t="s">
        <v>25</v>
      </c>
      <c r="AV7" s="14" t="s">
        <v>26</v>
      </c>
      <c r="AW7" s="11" t="s">
        <v>23</v>
      </c>
      <c r="AX7" s="12" t="s">
        <v>24</v>
      </c>
      <c r="AY7" s="13" t="s">
        <v>25</v>
      </c>
      <c r="AZ7" s="14" t="s">
        <v>26</v>
      </c>
      <c r="BA7" s="11" t="s">
        <v>23</v>
      </c>
      <c r="BB7" s="12" t="s">
        <v>24</v>
      </c>
      <c r="BC7" s="13" t="s">
        <v>25</v>
      </c>
      <c r="BD7" s="14" t="s">
        <v>26</v>
      </c>
      <c r="BE7" s="11" t="s">
        <v>23</v>
      </c>
      <c r="BF7" s="12" t="s">
        <v>24</v>
      </c>
      <c r="BG7" s="13" t="s">
        <v>25</v>
      </c>
      <c r="BH7" s="14" t="s">
        <v>26</v>
      </c>
      <c r="BI7" s="3" t="s">
        <v>23</v>
      </c>
      <c r="BJ7" s="4" t="s">
        <v>24</v>
      </c>
      <c r="BK7" s="5" t="s">
        <v>25</v>
      </c>
      <c r="BL7" s="6" t="s">
        <v>26</v>
      </c>
      <c r="BM7" s="11" t="s">
        <v>23</v>
      </c>
      <c r="BN7" s="12" t="s">
        <v>24</v>
      </c>
      <c r="BO7" s="13" t="s">
        <v>25</v>
      </c>
      <c r="BP7" s="14" t="s">
        <v>26</v>
      </c>
      <c r="BQ7" s="11" t="s">
        <v>23</v>
      </c>
      <c r="BR7" s="12" t="s">
        <v>24</v>
      </c>
      <c r="BS7" s="13" t="s">
        <v>25</v>
      </c>
      <c r="BT7" s="14" t="s">
        <v>26</v>
      </c>
      <c r="BU7" s="3" t="s">
        <v>23</v>
      </c>
      <c r="BV7" s="4" t="s">
        <v>24</v>
      </c>
      <c r="BW7" s="5" t="s">
        <v>25</v>
      </c>
      <c r="BX7" s="6" t="s">
        <v>26</v>
      </c>
    </row>
    <row r="8" spans="1:80" customHeight="1" ht="15.75">
      <c r="A8" s="15">
        <v>1</v>
      </c>
      <c r="B8" s="60" t="s">
        <v>31</v>
      </c>
      <c r="C8" s="16">
        <f>IF(BI8="","",BI8)</f>
        <v>96</v>
      </c>
      <c r="D8" s="17" t="str">
        <f>IF(BJ8="","",BJ8)</f>
        <v/>
      </c>
      <c r="E8" s="18" t="str">
        <f>IF(BK8="","",BK8)</f>
        <v/>
      </c>
      <c r="F8" s="19">
        <f>IF(BL8="","",BL8)</f>
        <v>96</v>
      </c>
      <c r="G8" s="16">
        <v>97</v>
      </c>
      <c r="H8" s="17"/>
      <c r="I8" s="18"/>
      <c r="J8" s="19">
        <f>IF(SUM(G8:I8)=0,"",ROUND(AVERAGE(G8:I8),0))</f>
        <v>97</v>
      </c>
      <c r="K8" s="20">
        <v>98</v>
      </c>
      <c r="L8" s="17"/>
      <c r="M8" s="18"/>
      <c r="N8" s="18">
        <f>IF(SUM(K8:M8)=0,"",ROUND(AVERAGE(K8:M8),0))</f>
        <v>98</v>
      </c>
      <c r="O8" s="16">
        <v>99</v>
      </c>
      <c r="P8" s="17"/>
      <c r="Q8" s="18"/>
      <c r="R8" s="19">
        <f>IF(SUM(O8:Q8)=0,"",ROUND(AVERAGE(O8:Q8),0))</f>
        <v>99</v>
      </c>
      <c r="S8" s="16">
        <v>87</v>
      </c>
      <c r="T8" s="17"/>
      <c r="U8" s="18"/>
      <c r="V8" s="19">
        <f>IF(SUM(S8:U8)=0,"",ROUND(AVERAGE(S8:U8),0))</f>
        <v>87</v>
      </c>
      <c r="W8" s="20">
        <v>96</v>
      </c>
      <c r="X8" s="17"/>
      <c r="Y8" s="18"/>
      <c r="Z8" s="18">
        <f>IF(SUM(W8:Y8)=0,"",ROUND(AVERAGE(W8:Y8),0))</f>
        <v>96</v>
      </c>
      <c r="AA8" s="16">
        <v>99</v>
      </c>
      <c r="AB8" s="17"/>
      <c r="AC8" s="18"/>
      <c r="AD8" s="19">
        <f>IF(SUM(AA8:AC8)=0,"",ROUND(AVERAGE(AA8:AC8),0))</f>
        <v>99</v>
      </c>
      <c r="AE8" s="16">
        <f>IF(BU8="","",BU8)</f>
        <v>89</v>
      </c>
      <c r="AF8" s="17" t="str">
        <f>IF(BV8="","",BV8)</f>
        <v/>
      </c>
      <c r="AG8" s="18" t="str">
        <f>IF(BW8="","",BW8)</f>
        <v/>
      </c>
      <c r="AH8" s="19">
        <f>IF(BX8="","",BX8)</f>
        <v>89</v>
      </c>
      <c r="AI8" s="16">
        <v>100</v>
      </c>
      <c r="AJ8" s="17"/>
      <c r="AK8" s="18"/>
      <c r="AL8" s="19">
        <f>IF(SUM(AI8:AK8)=0,"",ROUND(AVERAGE(AI8:AK8),0))</f>
        <v>100</v>
      </c>
      <c r="AM8" s="21">
        <v>96.0</v>
      </c>
      <c r="AN8" s="22"/>
      <c r="AO8" s="23"/>
      <c r="AP8" s="24">
        <f>IF(SUM(F8,J8,N8,R8,V8,Z8,AD8,AH8,AL8)=0,"",ROUND(AVERAGE(F8,J8,N8,R8,V8,Z8,AD8,AH8,AL8),2))</f>
        <v>95.67</v>
      </c>
      <c r="AQ8" s="15">
        <v>1</v>
      </c>
      <c r="AR8" s="60" t="str">
        <f>IF(B8="","",B8)</f>
        <v>ANGULO POL OCTAVIO</v>
      </c>
      <c r="AS8" s="25">
        <v>96</v>
      </c>
      <c r="AT8" s="26"/>
      <c r="AU8" s="27"/>
      <c r="AV8" s="28">
        <f>IF(SUM(AS8:AU8)=0,"",ROUND(AVERAGE(AS8:AU8),0))</f>
        <v>96</v>
      </c>
      <c r="AW8" s="29">
        <v>98</v>
      </c>
      <c r="AX8" s="26"/>
      <c r="AY8" s="27"/>
      <c r="AZ8" s="27">
        <f>IF(SUM(AW8:AY8)=0,"",ROUND(AVERAGE(AW8:AY8),0))</f>
        <v>98</v>
      </c>
      <c r="BA8" s="25">
        <v>91</v>
      </c>
      <c r="BB8" s="26"/>
      <c r="BC8" s="27"/>
      <c r="BD8" s="28">
        <f>IF(SUM(BA8:BC8)=0,"",ROUND(AVERAGE(BA8:BC8),0))</f>
        <v>91</v>
      </c>
      <c r="BE8" s="25">
        <v>95.0</v>
      </c>
      <c r="BF8" s="26"/>
      <c r="BG8" s="27"/>
      <c r="BH8" s="28">
        <f>IF(SUM(BE8:BG8)=0,"",ROUND(AVERAGE(BE8:BG8),0))</f>
        <v>95</v>
      </c>
      <c r="BI8" s="16">
        <v>96.0</v>
      </c>
      <c r="BJ8" s="17"/>
      <c r="BK8" s="18"/>
      <c r="BL8" s="19">
        <f>IF(SUM(BI8:BK8)=0,"",ROUND(AVERAGE(BI8:BK8),0))</f>
        <v>96</v>
      </c>
      <c r="BM8" s="29">
        <v>83</v>
      </c>
      <c r="BN8" s="26"/>
      <c r="BO8" s="27"/>
      <c r="BP8" s="27">
        <f>IF(SUM(BM8:BO8)=0,"",ROUND(AVERAGE(BM8:BO8),0))</f>
        <v>83</v>
      </c>
      <c r="BQ8" s="25">
        <v>95</v>
      </c>
      <c r="BR8" s="26"/>
      <c r="BS8" s="27"/>
      <c r="BT8" s="28">
        <f>IF(SUM(BQ8:BS8)=0,"",ROUND(AVERAGE(BQ8:BS8),0))</f>
        <v>95</v>
      </c>
      <c r="BU8" s="16">
        <v>89.0</v>
      </c>
      <c r="BV8" s="17"/>
      <c r="BW8" s="18"/>
      <c r="BX8" s="19">
        <f>IF(SUM(BU8:BW8)=0,"",ROUND(AVERAGE(BU8:BW8),0))</f>
        <v>89</v>
      </c>
    </row>
    <row r="9" spans="1:80" customHeight="1" ht="15.75">
      <c r="A9" s="30">
        <v>2</v>
      </c>
      <c r="B9" s="61" t="s">
        <v>32</v>
      </c>
      <c r="C9" s="31">
        <f>IF(BI9="","",BI9)</f>
        <v>88</v>
      </c>
      <c r="D9" s="32" t="str">
        <f>IF(BJ9="","",BJ9)</f>
        <v/>
      </c>
      <c r="E9" s="33" t="str">
        <f>IF(BK9="","",BK9)</f>
        <v/>
      </c>
      <c r="F9" s="34">
        <f>IF(BL9="","",BL9)</f>
        <v>88</v>
      </c>
      <c r="G9" s="31">
        <v>95</v>
      </c>
      <c r="H9" s="32"/>
      <c r="I9" s="33"/>
      <c r="J9" s="34">
        <f>IF(SUM(G9:I9)=0,"",ROUND(AVERAGE(G9:I9),0))</f>
        <v>95</v>
      </c>
      <c r="K9" s="35">
        <v>95</v>
      </c>
      <c r="L9" s="32"/>
      <c r="M9" s="33"/>
      <c r="N9" s="33">
        <f>IF(SUM(K9:M9)=0,"",ROUND(AVERAGE(K9:M9),0))</f>
        <v>95</v>
      </c>
      <c r="O9" s="31">
        <v>91</v>
      </c>
      <c r="P9" s="32"/>
      <c r="Q9" s="33"/>
      <c r="R9" s="34">
        <f>IF(SUM(O9:Q9)=0,"",ROUND(AVERAGE(O9:Q9),0))</f>
        <v>91</v>
      </c>
      <c r="S9" s="31">
        <v>90</v>
      </c>
      <c r="T9" s="32"/>
      <c r="U9" s="33"/>
      <c r="V9" s="34">
        <f>IF(SUM(S9:U9)=0,"",ROUND(AVERAGE(S9:U9),0))</f>
        <v>90</v>
      </c>
      <c r="W9" s="35">
        <v>96</v>
      </c>
      <c r="X9" s="32"/>
      <c r="Y9" s="33"/>
      <c r="Z9" s="33">
        <f>IF(SUM(W9:Y9)=0,"",ROUND(AVERAGE(W9:Y9),0))</f>
        <v>96</v>
      </c>
      <c r="AA9" s="31">
        <v>99</v>
      </c>
      <c r="AB9" s="32"/>
      <c r="AC9" s="33"/>
      <c r="AD9" s="34">
        <f>IF(SUM(AA9:AC9)=0,"",ROUND(AVERAGE(AA9:AC9),0))</f>
        <v>99</v>
      </c>
      <c r="AE9" s="31">
        <f>IF(BU9="","",BU9)</f>
        <v>86</v>
      </c>
      <c r="AF9" s="32" t="str">
        <f>IF(BV9="","",BV9)</f>
        <v/>
      </c>
      <c r="AG9" s="33" t="str">
        <f>IF(BW9="","",BW9)</f>
        <v/>
      </c>
      <c r="AH9" s="34">
        <f>IF(BX9="","",BX9)</f>
        <v>86</v>
      </c>
      <c r="AI9" s="31">
        <v>100</v>
      </c>
      <c r="AJ9" s="32"/>
      <c r="AK9" s="33"/>
      <c r="AL9" s="34">
        <f>IF(SUM(AI9:AK9)=0,"",ROUND(AVERAGE(AI9:AK9),0))</f>
        <v>100</v>
      </c>
      <c r="AM9" s="36">
        <v>93.0</v>
      </c>
      <c r="AN9" s="37"/>
      <c r="AO9" s="38"/>
      <c r="AP9" s="39">
        <f>IF(SUM(F9,J9,N9,R9,V9,Z9,AD9,AH9,AL9)=0,"",ROUND(AVERAGE(F9,J9,N9,R9,V9,Z9,AD9,AH9,AL9),2))</f>
        <v>93.33</v>
      </c>
      <c r="AQ9" s="30">
        <v>2</v>
      </c>
      <c r="AR9" s="61" t="str">
        <f>IF(B9="","",B9)</f>
        <v>BARRIENTOS GONZALES UCUMARI JULIANA MARTINA</v>
      </c>
      <c r="AS9" s="40">
        <v>94</v>
      </c>
      <c r="AT9" s="41"/>
      <c r="AU9" s="42"/>
      <c r="AV9" s="43">
        <f>IF(SUM(AS9:AU9)=0,"",ROUND(AVERAGE(AS9:AU9),0))</f>
        <v>94</v>
      </c>
      <c r="AW9" s="44">
        <v>85</v>
      </c>
      <c r="AX9" s="41"/>
      <c r="AY9" s="42"/>
      <c r="AZ9" s="42">
        <f>IF(SUM(AW9:AY9)=0,"",ROUND(AVERAGE(AW9:AY9),0))</f>
        <v>85</v>
      </c>
      <c r="BA9" s="40">
        <v>76</v>
      </c>
      <c r="BB9" s="41"/>
      <c r="BC9" s="42"/>
      <c r="BD9" s="43">
        <f>IF(SUM(BA9:BC9)=0,"",ROUND(AVERAGE(BA9:BC9),0))</f>
        <v>76</v>
      </c>
      <c r="BE9" s="40">
        <v>81.0</v>
      </c>
      <c r="BF9" s="41"/>
      <c r="BG9" s="42"/>
      <c r="BH9" s="43">
        <f>IF(SUM(BE9:BG9)=0,"",ROUND(AVERAGE(BE9:BG9),0))</f>
        <v>81</v>
      </c>
      <c r="BI9" s="31">
        <v>88.0</v>
      </c>
      <c r="BJ9" s="32"/>
      <c r="BK9" s="33"/>
      <c r="BL9" s="34">
        <f>IF(SUM(BI9:BK9)=0,"",ROUND(AVERAGE(BI9:BK9),0))</f>
        <v>88</v>
      </c>
      <c r="BM9" s="44">
        <v>77</v>
      </c>
      <c r="BN9" s="41"/>
      <c r="BO9" s="42"/>
      <c r="BP9" s="42">
        <f>IF(SUM(BM9:BO9)=0,"",ROUND(AVERAGE(BM9:BO9),0))</f>
        <v>77</v>
      </c>
      <c r="BQ9" s="40">
        <v>95</v>
      </c>
      <c r="BR9" s="41"/>
      <c r="BS9" s="42"/>
      <c r="BT9" s="43">
        <f>IF(SUM(BQ9:BS9)=0,"",ROUND(AVERAGE(BQ9:BS9),0))</f>
        <v>95</v>
      </c>
      <c r="BU9" s="31">
        <v>86.0</v>
      </c>
      <c r="BV9" s="32"/>
      <c r="BW9" s="33"/>
      <c r="BX9" s="34">
        <f>IF(SUM(BU9:BW9)=0,"",ROUND(AVERAGE(BU9:BW9),0))</f>
        <v>86</v>
      </c>
    </row>
    <row r="10" spans="1:80" customHeight="1" ht="15.75">
      <c r="A10" s="30">
        <v>3</v>
      </c>
      <c r="B10" s="61" t="s">
        <v>33</v>
      </c>
      <c r="C10" s="31">
        <f>IF(BI10="","",BI10)</f>
        <v>90</v>
      </c>
      <c r="D10" s="32" t="str">
        <f>IF(BJ10="","",BJ10)</f>
        <v/>
      </c>
      <c r="E10" s="33" t="str">
        <f>IF(BK10="","",BK10)</f>
        <v/>
      </c>
      <c r="F10" s="34">
        <f>IF(BL10="","",BL10)</f>
        <v>90</v>
      </c>
      <c r="G10" s="31">
        <v>97</v>
      </c>
      <c r="H10" s="32"/>
      <c r="I10" s="33"/>
      <c r="J10" s="34">
        <f>IF(SUM(G10:I10)=0,"",ROUND(AVERAGE(G10:I10),0))</f>
        <v>97</v>
      </c>
      <c r="K10" s="35">
        <v>100</v>
      </c>
      <c r="L10" s="32"/>
      <c r="M10" s="33"/>
      <c r="N10" s="33">
        <f>IF(SUM(K10:M10)=0,"",ROUND(AVERAGE(K10:M10),0))</f>
        <v>100</v>
      </c>
      <c r="O10" s="31">
        <v>92</v>
      </c>
      <c r="P10" s="32"/>
      <c r="Q10" s="33"/>
      <c r="R10" s="34">
        <f>IF(SUM(O10:Q10)=0,"",ROUND(AVERAGE(O10:Q10),0))</f>
        <v>92</v>
      </c>
      <c r="S10" s="31">
        <v>85</v>
      </c>
      <c r="T10" s="32"/>
      <c r="U10" s="33"/>
      <c r="V10" s="34">
        <f>IF(SUM(S10:U10)=0,"",ROUND(AVERAGE(S10:U10),0))</f>
        <v>85</v>
      </c>
      <c r="W10" s="35">
        <v>93</v>
      </c>
      <c r="X10" s="32"/>
      <c r="Y10" s="33"/>
      <c r="Z10" s="33">
        <f>IF(SUM(W10:Y10)=0,"",ROUND(AVERAGE(W10:Y10),0))</f>
        <v>93</v>
      </c>
      <c r="AA10" s="31">
        <v>98</v>
      </c>
      <c r="AB10" s="32"/>
      <c r="AC10" s="33"/>
      <c r="AD10" s="34">
        <f>IF(SUM(AA10:AC10)=0,"",ROUND(AVERAGE(AA10:AC10),0))</f>
        <v>98</v>
      </c>
      <c r="AE10" s="31">
        <f>IF(BU10="","",BU10)</f>
        <v>94</v>
      </c>
      <c r="AF10" s="32" t="str">
        <f>IF(BV10="","",BV10)</f>
        <v/>
      </c>
      <c r="AG10" s="33" t="str">
        <f>IF(BW10="","",BW10)</f>
        <v/>
      </c>
      <c r="AH10" s="34">
        <f>IF(BX10="","",BX10)</f>
        <v>94</v>
      </c>
      <c r="AI10" s="31">
        <v>100</v>
      </c>
      <c r="AJ10" s="32"/>
      <c r="AK10" s="33"/>
      <c r="AL10" s="34">
        <f>IF(SUM(AI10:AK10)=0,"",ROUND(AVERAGE(AI10:AK10),0))</f>
        <v>100</v>
      </c>
      <c r="AM10" s="36">
        <v>94.0</v>
      </c>
      <c r="AN10" s="37"/>
      <c r="AO10" s="38"/>
      <c r="AP10" s="39">
        <f>IF(SUM(F10,J10,N10,R10,V10,Z10,AD10,AH10,AL10)=0,"",ROUND(AVERAGE(F10,J10,N10,R10,V10,Z10,AD10,AH10,AL10),2))</f>
        <v>94.33</v>
      </c>
      <c r="AQ10" s="30">
        <v>3</v>
      </c>
      <c r="AR10" s="61" t="str">
        <f>IF(B10="","",B10)</f>
        <v>CAMACHO ORELLANA TADEO FRANCISCO</v>
      </c>
      <c r="AS10" s="40">
        <v>90</v>
      </c>
      <c r="AT10" s="41"/>
      <c r="AU10" s="42"/>
      <c r="AV10" s="43">
        <f>IF(SUM(AS10:AU10)=0,"",ROUND(AVERAGE(AS10:AU10),0))</f>
        <v>90</v>
      </c>
      <c r="AW10" s="44">
        <v>87</v>
      </c>
      <c r="AX10" s="41"/>
      <c r="AY10" s="42"/>
      <c r="AZ10" s="42">
        <f>IF(SUM(AW10:AY10)=0,"",ROUND(AVERAGE(AW10:AY10),0))</f>
        <v>87</v>
      </c>
      <c r="BA10" s="40">
        <v>91</v>
      </c>
      <c r="BB10" s="41"/>
      <c r="BC10" s="42"/>
      <c r="BD10" s="43">
        <f>IF(SUM(BA10:BC10)=0,"",ROUND(AVERAGE(BA10:BC10),0))</f>
        <v>91</v>
      </c>
      <c r="BE10" s="40">
        <v>89.0</v>
      </c>
      <c r="BF10" s="41"/>
      <c r="BG10" s="42"/>
      <c r="BH10" s="43">
        <f>IF(SUM(BE10:BG10)=0,"",ROUND(AVERAGE(BE10:BG10),0))</f>
        <v>89</v>
      </c>
      <c r="BI10" s="31">
        <v>90.0</v>
      </c>
      <c r="BJ10" s="32"/>
      <c r="BK10" s="33"/>
      <c r="BL10" s="34">
        <f>IF(SUM(BI10:BK10)=0,"",ROUND(AVERAGE(BI10:BK10),0))</f>
        <v>90</v>
      </c>
      <c r="BM10" s="44">
        <v>93</v>
      </c>
      <c r="BN10" s="41"/>
      <c r="BO10" s="42"/>
      <c r="BP10" s="42">
        <f>IF(SUM(BM10:BO10)=0,"",ROUND(AVERAGE(BM10:BO10),0))</f>
        <v>93</v>
      </c>
      <c r="BQ10" s="40">
        <v>94</v>
      </c>
      <c r="BR10" s="41"/>
      <c r="BS10" s="42"/>
      <c r="BT10" s="43">
        <f>IF(SUM(BQ10:BS10)=0,"",ROUND(AVERAGE(BQ10:BS10),0))</f>
        <v>94</v>
      </c>
      <c r="BU10" s="31">
        <v>94.0</v>
      </c>
      <c r="BV10" s="32"/>
      <c r="BW10" s="33"/>
      <c r="BX10" s="34">
        <f>IF(SUM(BU10:BW10)=0,"",ROUND(AVERAGE(BU10:BW10),0))</f>
        <v>94</v>
      </c>
    </row>
    <row r="11" spans="1:80" customHeight="1" ht="15.75">
      <c r="A11" s="30">
        <v>4</v>
      </c>
      <c r="B11" s="61" t="s">
        <v>34</v>
      </c>
      <c r="C11" s="31">
        <f>IF(BI11="","",BI11)</f>
        <v>90</v>
      </c>
      <c r="D11" s="32" t="str">
        <f>IF(BJ11="","",BJ11)</f>
        <v/>
      </c>
      <c r="E11" s="33" t="str">
        <f>IF(BK11="","",BK11)</f>
        <v/>
      </c>
      <c r="F11" s="34">
        <f>IF(BL11="","",BL11)</f>
        <v>90</v>
      </c>
      <c r="G11" s="31">
        <v>92</v>
      </c>
      <c r="H11" s="32"/>
      <c r="I11" s="33"/>
      <c r="J11" s="34">
        <f>IF(SUM(G11:I11)=0,"",ROUND(AVERAGE(G11:I11),0))</f>
        <v>92</v>
      </c>
      <c r="K11" s="35">
        <v>88</v>
      </c>
      <c r="L11" s="32"/>
      <c r="M11" s="33"/>
      <c r="N11" s="33">
        <f>IF(SUM(K11:M11)=0,"",ROUND(AVERAGE(K11:M11),0))</f>
        <v>88</v>
      </c>
      <c r="O11" s="31">
        <v>84</v>
      </c>
      <c r="P11" s="32"/>
      <c r="Q11" s="33"/>
      <c r="R11" s="34">
        <f>IF(SUM(O11:Q11)=0,"",ROUND(AVERAGE(O11:Q11),0))</f>
        <v>84</v>
      </c>
      <c r="S11" s="31">
        <v>96</v>
      </c>
      <c r="T11" s="32"/>
      <c r="U11" s="33"/>
      <c r="V11" s="34">
        <f>IF(SUM(S11:U11)=0,"",ROUND(AVERAGE(S11:U11),0))</f>
        <v>96</v>
      </c>
      <c r="W11" s="35">
        <v>94</v>
      </c>
      <c r="X11" s="32"/>
      <c r="Y11" s="33"/>
      <c r="Z11" s="33">
        <f>IF(SUM(W11:Y11)=0,"",ROUND(AVERAGE(W11:Y11),0))</f>
        <v>94</v>
      </c>
      <c r="AA11" s="31">
        <v>94</v>
      </c>
      <c r="AB11" s="32"/>
      <c r="AC11" s="33"/>
      <c r="AD11" s="34">
        <f>IF(SUM(AA11:AC11)=0,"",ROUND(AVERAGE(AA11:AC11),0))</f>
        <v>94</v>
      </c>
      <c r="AE11" s="31">
        <f>IF(BU11="","",BU11)</f>
        <v>91</v>
      </c>
      <c r="AF11" s="32" t="str">
        <f>IF(BV11="","",BV11)</f>
        <v/>
      </c>
      <c r="AG11" s="33" t="str">
        <f>IF(BW11="","",BW11)</f>
        <v/>
      </c>
      <c r="AH11" s="34">
        <f>IF(BX11="","",BX11)</f>
        <v>91</v>
      </c>
      <c r="AI11" s="31">
        <v>99</v>
      </c>
      <c r="AJ11" s="32"/>
      <c r="AK11" s="33"/>
      <c r="AL11" s="34">
        <f>IF(SUM(AI11:AK11)=0,"",ROUND(AVERAGE(AI11:AK11),0))</f>
        <v>99</v>
      </c>
      <c r="AM11" s="36">
        <v>92.0</v>
      </c>
      <c r="AN11" s="37"/>
      <c r="AO11" s="38"/>
      <c r="AP11" s="39">
        <f>IF(SUM(F11,J11,N11,R11,V11,Z11,AD11,AH11,AL11)=0,"",ROUND(AVERAGE(F11,J11,N11,R11,V11,Z11,AD11,AH11,AL11),2))</f>
        <v>92</v>
      </c>
      <c r="AQ11" s="30">
        <v>4</v>
      </c>
      <c r="AR11" s="61" t="str">
        <f>IF(B11="","",B11)</f>
        <v>CASTELLON QUIROZ MAURICIO ALONZO</v>
      </c>
      <c r="AS11" s="40">
        <v>95</v>
      </c>
      <c r="AT11" s="41"/>
      <c r="AU11" s="42"/>
      <c r="AV11" s="43">
        <f>IF(SUM(AS11:AU11)=0,"",ROUND(AVERAGE(AS11:AU11),0))</f>
        <v>95</v>
      </c>
      <c r="AW11" s="44">
        <v>86</v>
      </c>
      <c r="AX11" s="41"/>
      <c r="AY11" s="42"/>
      <c r="AZ11" s="42">
        <f>IF(SUM(AW11:AY11)=0,"",ROUND(AVERAGE(AW11:AY11),0))</f>
        <v>86</v>
      </c>
      <c r="BA11" s="40">
        <v>82</v>
      </c>
      <c r="BB11" s="41"/>
      <c r="BC11" s="42"/>
      <c r="BD11" s="43">
        <f>IF(SUM(BA11:BC11)=0,"",ROUND(AVERAGE(BA11:BC11),0))</f>
        <v>82</v>
      </c>
      <c r="BE11" s="40">
        <v>84.0</v>
      </c>
      <c r="BF11" s="41"/>
      <c r="BG11" s="42"/>
      <c r="BH11" s="43">
        <f>IF(SUM(BE11:BG11)=0,"",ROUND(AVERAGE(BE11:BG11),0))</f>
        <v>84</v>
      </c>
      <c r="BI11" s="31">
        <v>90.0</v>
      </c>
      <c r="BJ11" s="32"/>
      <c r="BK11" s="33"/>
      <c r="BL11" s="34">
        <f>IF(SUM(BI11:BK11)=0,"",ROUND(AVERAGE(BI11:BK11),0))</f>
        <v>90</v>
      </c>
      <c r="BM11" s="44">
        <v>90</v>
      </c>
      <c r="BN11" s="41"/>
      <c r="BO11" s="42"/>
      <c r="BP11" s="42">
        <f>IF(SUM(BM11:BO11)=0,"",ROUND(AVERAGE(BM11:BO11),0))</f>
        <v>90</v>
      </c>
      <c r="BQ11" s="40">
        <v>91</v>
      </c>
      <c r="BR11" s="41"/>
      <c r="BS11" s="42"/>
      <c r="BT11" s="43">
        <f>IF(SUM(BQ11:BS11)=0,"",ROUND(AVERAGE(BQ11:BS11),0))</f>
        <v>91</v>
      </c>
      <c r="BU11" s="31">
        <v>91.0</v>
      </c>
      <c r="BV11" s="32"/>
      <c r="BW11" s="33"/>
      <c r="BX11" s="34">
        <f>IF(SUM(BU11:BW11)=0,"",ROUND(AVERAGE(BU11:BW11),0))</f>
        <v>91</v>
      </c>
    </row>
    <row r="12" spans="1:80" customHeight="1" ht="15.75">
      <c r="A12" s="30">
        <v>5</v>
      </c>
      <c r="B12" s="61" t="s">
        <v>35</v>
      </c>
      <c r="C12" s="31">
        <f>IF(BI12="","",BI12)</f>
        <v>89</v>
      </c>
      <c r="D12" s="32" t="str">
        <f>IF(BJ12="","",BJ12)</f>
        <v/>
      </c>
      <c r="E12" s="33" t="str">
        <f>IF(BK12="","",BK12)</f>
        <v/>
      </c>
      <c r="F12" s="34">
        <f>IF(BL12="","",BL12)</f>
        <v>89</v>
      </c>
      <c r="G12" s="31">
        <v>95</v>
      </c>
      <c r="H12" s="32"/>
      <c r="I12" s="33"/>
      <c r="J12" s="34">
        <f>IF(SUM(G12:I12)=0,"",ROUND(AVERAGE(G12:I12),0))</f>
        <v>95</v>
      </c>
      <c r="K12" s="35">
        <v>98</v>
      </c>
      <c r="L12" s="32"/>
      <c r="M12" s="33"/>
      <c r="N12" s="33">
        <f>IF(SUM(K12:M12)=0,"",ROUND(AVERAGE(K12:M12),0))</f>
        <v>98</v>
      </c>
      <c r="O12" s="31">
        <v>91</v>
      </c>
      <c r="P12" s="32"/>
      <c r="Q12" s="33"/>
      <c r="R12" s="34">
        <f>IF(SUM(O12:Q12)=0,"",ROUND(AVERAGE(O12:Q12),0))</f>
        <v>91</v>
      </c>
      <c r="S12" s="31">
        <v>90</v>
      </c>
      <c r="T12" s="32"/>
      <c r="U12" s="33"/>
      <c r="V12" s="34">
        <f>IF(SUM(S12:U12)=0,"",ROUND(AVERAGE(S12:U12),0))</f>
        <v>90</v>
      </c>
      <c r="W12" s="35">
        <v>91</v>
      </c>
      <c r="X12" s="32"/>
      <c r="Y12" s="33"/>
      <c r="Z12" s="33">
        <f>IF(SUM(W12:Y12)=0,"",ROUND(AVERAGE(W12:Y12),0))</f>
        <v>91</v>
      </c>
      <c r="AA12" s="31">
        <v>98</v>
      </c>
      <c r="AB12" s="32"/>
      <c r="AC12" s="33"/>
      <c r="AD12" s="34">
        <f>IF(SUM(AA12:AC12)=0,"",ROUND(AVERAGE(AA12:AC12),0))</f>
        <v>98</v>
      </c>
      <c r="AE12" s="31">
        <f>IF(BU12="","",BU12)</f>
        <v>88</v>
      </c>
      <c r="AF12" s="32" t="str">
        <f>IF(BV12="","",BV12)</f>
        <v/>
      </c>
      <c r="AG12" s="33" t="str">
        <f>IF(BW12="","",BW12)</f>
        <v/>
      </c>
      <c r="AH12" s="34">
        <f>IF(BX12="","",BX12)</f>
        <v>88</v>
      </c>
      <c r="AI12" s="31">
        <v>99</v>
      </c>
      <c r="AJ12" s="32"/>
      <c r="AK12" s="33"/>
      <c r="AL12" s="34">
        <f>IF(SUM(AI12:AK12)=0,"",ROUND(AVERAGE(AI12:AK12),0))</f>
        <v>99</v>
      </c>
      <c r="AM12" s="36">
        <v>93.0</v>
      </c>
      <c r="AN12" s="37"/>
      <c r="AO12" s="38"/>
      <c r="AP12" s="39">
        <f>IF(SUM(F12,J12,N12,R12,V12,Z12,AD12,AH12,AL12)=0,"",ROUND(AVERAGE(F12,J12,N12,R12,V12,Z12,AD12,AH12,AL12),2))</f>
        <v>93.22</v>
      </c>
      <c r="AQ12" s="30">
        <v>5</v>
      </c>
      <c r="AR12" s="61" t="str">
        <f>IF(B12="","",B12)</f>
        <v>CASTRO VARGAS AMELIA</v>
      </c>
      <c r="AS12" s="40">
        <v>94</v>
      </c>
      <c r="AT12" s="41"/>
      <c r="AU12" s="42"/>
      <c r="AV12" s="43">
        <f>IF(SUM(AS12:AU12)=0,"",ROUND(AVERAGE(AS12:AU12),0))</f>
        <v>94</v>
      </c>
      <c r="AW12" s="44">
        <v>87</v>
      </c>
      <c r="AX12" s="41"/>
      <c r="AY12" s="42"/>
      <c r="AZ12" s="42">
        <f>IF(SUM(AW12:AY12)=0,"",ROUND(AVERAGE(AW12:AY12),0))</f>
        <v>87</v>
      </c>
      <c r="BA12" s="40">
        <v>78</v>
      </c>
      <c r="BB12" s="41"/>
      <c r="BC12" s="42"/>
      <c r="BD12" s="43">
        <f>IF(SUM(BA12:BC12)=0,"",ROUND(AVERAGE(BA12:BC12),0))</f>
        <v>78</v>
      </c>
      <c r="BE12" s="40">
        <v>83.0</v>
      </c>
      <c r="BF12" s="41"/>
      <c r="BG12" s="42"/>
      <c r="BH12" s="43">
        <f>IF(SUM(BE12:BG12)=0,"",ROUND(AVERAGE(BE12:BG12),0))</f>
        <v>83</v>
      </c>
      <c r="BI12" s="31">
        <v>89.0</v>
      </c>
      <c r="BJ12" s="32"/>
      <c r="BK12" s="33"/>
      <c r="BL12" s="34">
        <f>IF(SUM(BI12:BK12)=0,"",ROUND(AVERAGE(BI12:BK12),0))</f>
        <v>89</v>
      </c>
      <c r="BM12" s="44">
        <v>88</v>
      </c>
      <c r="BN12" s="41"/>
      <c r="BO12" s="42"/>
      <c r="BP12" s="42">
        <f>IF(SUM(BM12:BO12)=0,"",ROUND(AVERAGE(BM12:BO12),0))</f>
        <v>88</v>
      </c>
      <c r="BQ12" s="40">
        <v>88</v>
      </c>
      <c r="BR12" s="41"/>
      <c r="BS12" s="42"/>
      <c r="BT12" s="43">
        <f>IF(SUM(BQ12:BS12)=0,"",ROUND(AVERAGE(BQ12:BS12),0))</f>
        <v>88</v>
      </c>
      <c r="BU12" s="31">
        <v>88.0</v>
      </c>
      <c r="BV12" s="32"/>
      <c r="BW12" s="33"/>
      <c r="BX12" s="34">
        <f>IF(SUM(BU12:BW12)=0,"",ROUND(AVERAGE(BU12:BW12),0))</f>
        <v>88</v>
      </c>
    </row>
    <row r="13" spans="1:80" customHeight="1" ht="15.75">
      <c r="A13" s="30">
        <v>6</v>
      </c>
      <c r="B13" s="61" t="s">
        <v>36</v>
      </c>
      <c r="C13" s="31">
        <f>IF(BI13="","",BI13)</f>
        <v>92</v>
      </c>
      <c r="D13" s="32" t="str">
        <f>IF(BJ13="","",BJ13)</f>
        <v/>
      </c>
      <c r="E13" s="33" t="str">
        <f>IF(BK13="","",BK13)</f>
        <v/>
      </c>
      <c r="F13" s="34">
        <f>IF(BL13="","",BL13)</f>
        <v>92</v>
      </c>
      <c r="G13" s="31">
        <v>94</v>
      </c>
      <c r="H13" s="32"/>
      <c r="I13" s="33"/>
      <c r="J13" s="34">
        <f>IF(SUM(G13:I13)=0,"",ROUND(AVERAGE(G13:I13),0))</f>
        <v>94</v>
      </c>
      <c r="K13" s="35">
        <v>96</v>
      </c>
      <c r="L13" s="32"/>
      <c r="M13" s="33"/>
      <c r="N13" s="33">
        <f>IF(SUM(K13:M13)=0,"",ROUND(AVERAGE(K13:M13),0))</f>
        <v>96</v>
      </c>
      <c r="O13" s="31">
        <v>95</v>
      </c>
      <c r="P13" s="32"/>
      <c r="Q13" s="33"/>
      <c r="R13" s="34">
        <f>IF(SUM(O13:Q13)=0,"",ROUND(AVERAGE(O13:Q13),0))</f>
        <v>95</v>
      </c>
      <c r="S13" s="31">
        <v>86</v>
      </c>
      <c r="T13" s="32"/>
      <c r="U13" s="33"/>
      <c r="V13" s="34">
        <f>IF(SUM(S13:U13)=0,"",ROUND(AVERAGE(S13:U13),0))</f>
        <v>86</v>
      </c>
      <c r="W13" s="35">
        <v>95</v>
      </c>
      <c r="X13" s="32"/>
      <c r="Y13" s="33"/>
      <c r="Z13" s="33">
        <f>IF(SUM(W13:Y13)=0,"",ROUND(AVERAGE(W13:Y13),0))</f>
        <v>95</v>
      </c>
      <c r="AA13" s="31">
        <v>99</v>
      </c>
      <c r="AB13" s="32"/>
      <c r="AC13" s="33"/>
      <c r="AD13" s="34">
        <f>IF(SUM(AA13:AC13)=0,"",ROUND(AVERAGE(AA13:AC13),0))</f>
        <v>99</v>
      </c>
      <c r="AE13" s="31">
        <f>IF(BU13="","",BU13)</f>
        <v>92</v>
      </c>
      <c r="AF13" s="32" t="str">
        <f>IF(BV13="","",BV13)</f>
        <v/>
      </c>
      <c r="AG13" s="33" t="str">
        <f>IF(BW13="","",BW13)</f>
        <v/>
      </c>
      <c r="AH13" s="34">
        <f>IF(BX13="","",BX13)</f>
        <v>92</v>
      </c>
      <c r="AI13" s="31">
        <v>100</v>
      </c>
      <c r="AJ13" s="32"/>
      <c r="AK13" s="33"/>
      <c r="AL13" s="34">
        <f>IF(SUM(AI13:AK13)=0,"",ROUND(AVERAGE(AI13:AK13),0))</f>
        <v>100</v>
      </c>
      <c r="AM13" s="36">
        <v>94.0</v>
      </c>
      <c r="AN13" s="37"/>
      <c r="AO13" s="38"/>
      <c r="AP13" s="39">
        <f>IF(SUM(F13,J13,N13,R13,V13,Z13,AD13,AH13,AL13)=0,"",ROUND(AVERAGE(F13,J13,N13,R13,V13,Z13,AD13,AH13,AL13),2))</f>
        <v>94.33</v>
      </c>
      <c r="AQ13" s="30">
        <v>6</v>
      </c>
      <c r="AR13" s="61" t="str">
        <f>IF(B13="","",B13)</f>
        <v>DEL CARPIO CONDARCO NORA</v>
      </c>
      <c r="AS13" s="40">
        <v>96</v>
      </c>
      <c r="AT13" s="41"/>
      <c r="AU13" s="42"/>
      <c r="AV13" s="43">
        <f>IF(SUM(AS13:AU13)=0,"",ROUND(AVERAGE(AS13:AU13),0))</f>
        <v>96</v>
      </c>
      <c r="AW13" s="44">
        <v>83</v>
      </c>
      <c r="AX13" s="41"/>
      <c r="AY13" s="42"/>
      <c r="AZ13" s="42">
        <f>IF(SUM(AW13:AY13)=0,"",ROUND(AVERAGE(AW13:AY13),0))</f>
        <v>83</v>
      </c>
      <c r="BA13" s="40">
        <v>92</v>
      </c>
      <c r="BB13" s="41"/>
      <c r="BC13" s="42"/>
      <c r="BD13" s="43">
        <f>IF(SUM(BA13:BC13)=0,"",ROUND(AVERAGE(BA13:BC13),0))</f>
        <v>92</v>
      </c>
      <c r="BE13" s="40">
        <v>88.0</v>
      </c>
      <c r="BF13" s="41"/>
      <c r="BG13" s="42"/>
      <c r="BH13" s="43">
        <f>IF(SUM(BE13:BG13)=0,"",ROUND(AVERAGE(BE13:BG13),0))</f>
        <v>88</v>
      </c>
      <c r="BI13" s="31">
        <v>92.0</v>
      </c>
      <c r="BJ13" s="32"/>
      <c r="BK13" s="33"/>
      <c r="BL13" s="34">
        <f>IF(SUM(BI13:BK13)=0,"",ROUND(AVERAGE(BI13:BK13),0))</f>
        <v>92</v>
      </c>
      <c r="BM13" s="44">
        <v>93</v>
      </c>
      <c r="BN13" s="41"/>
      <c r="BO13" s="42"/>
      <c r="BP13" s="42">
        <f>IF(SUM(BM13:BO13)=0,"",ROUND(AVERAGE(BM13:BO13),0))</f>
        <v>93</v>
      </c>
      <c r="BQ13" s="40">
        <v>90</v>
      </c>
      <c r="BR13" s="41"/>
      <c r="BS13" s="42"/>
      <c r="BT13" s="43">
        <f>IF(SUM(BQ13:BS13)=0,"",ROUND(AVERAGE(BQ13:BS13),0))</f>
        <v>90</v>
      </c>
      <c r="BU13" s="31">
        <v>92.0</v>
      </c>
      <c r="BV13" s="32"/>
      <c r="BW13" s="33"/>
      <c r="BX13" s="34">
        <f>IF(SUM(BU13:BW13)=0,"",ROUND(AVERAGE(BU13:BW13),0))</f>
        <v>92</v>
      </c>
    </row>
    <row r="14" spans="1:80" customHeight="1" ht="15.75">
      <c r="A14" s="30">
        <v>7</v>
      </c>
      <c r="B14" s="61" t="s">
        <v>37</v>
      </c>
      <c r="C14" s="31">
        <f>IF(BI14="","",BI14)</f>
        <v>87</v>
      </c>
      <c r="D14" s="32" t="str">
        <f>IF(BJ14="","",BJ14)</f>
        <v/>
      </c>
      <c r="E14" s="33" t="str">
        <f>IF(BK14="","",BK14)</f>
        <v/>
      </c>
      <c r="F14" s="34">
        <f>IF(BL14="","",BL14)</f>
        <v>87</v>
      </c>
      <c r="G14" s="31">
        <v>94</v>
      </c>
      <c r="H14" s="32"/>
      <c r="I14" s="33"/>
      <c r="J14" s="34">
        <f>IF(SUM(G14:I14)=0,"",ROUND(AVERAGE(G14:I14),0))</f>
        <v>94</v>
      </c>
      <c r="K14" s="35">
        <v>94</v>
      </c>
      <c r="L14" s="32"/>
      <c r="M14" s="33"/>
      <c r="N14" s="33">
        <f>IF(SUM(K14:M14)=0,"",ROUND(AVERAGE(K14:M14),0))</f>
        <v>94</v>
      </c>
      <c r="O14" s="31">
        <v>92</v>
      </c>
      <c r="P14" s="32"/>
      <c r="Q14" s="33"/>
      <c r="R14" s="34">
        <f>IF(SUM(O14:Q14)=0,"",ROUND(AVERAGE(O14:Q14),0))</f>
        <v>92</v>
      </c>
      <c r="S14" s="31">
        <v>74</v>
      </c>
      <c r="T14" s="32"/>
      <c r="U14" s="33"/>
      <c r="V14" s="34">
        <f>IF(SUM(S14:U14)=0,"",ROUND(AVERAGE(S14:U14),0))</f>
        <v>74</v>
      </c>
      <c r="W14" s="35">
        <v>90</v>
      </c>
      <c r="X14" s="32"/>
      <c r="Y14" s="33"/>
      <c r="Z14" s="33">
        <f>IF(SUM(W14:Y14)=0,"",ROUND(AVERAGE(W14:Y14),0))</f>
        <v>90</v>
      </c>
      <c r="AA14" s="31">
        <v>99</v>
      </c>
      <c r="AB14" s="32"/>
      <c r="AC14" s="33"/>
      <c r="AD14" s="34">
        <f>IF(SUM(AA14:AC14)=0,"",ROUND(AVERAGE(AA14:AC14),0))</f>
        <v>99</v>
      </c>
      <c r="AE14" s="31">
        <f>IF(BU14="","",BU14)</f>
        <v>89</v>
      </c>
      <c r="AF14" s="32" t="str">
        <f>IF(BV14="","",BV14)</f>
        <v/>
      </c>
      <c r="AG14" s="33" t="str">
        <f>IF(BW14="","",BW14)</f>
        <v/>
      </c>
      <c r="AH14" s="34">
        <f>IF(BX14="","",BX14)</f>
        <v>89</v>
      </c>
      <c r="AI14" s="31">
        <v>99</v>
      </c>
      <c r="AJ14" s="32"/>
      <c r="AK14" s="33"/>
      <c r="AL14" s="34">
        <f>IF(SUM(AI14:AK14)=0,"",ROUND(AVERAGE(AI14:AK14),0))</f>
        <v>99</v>
      </c>
      <c r="AM14" s="36">
        <v>91.0</v>
      </c>
      <c r="AN14" s="37"/>
      <c r="AO14" s="38"/>
      <c r="AP14" s="39">
        <f>IF(SUM(F14,J14,N14,R14,V14,Z14,AD14,AH14,AL14)=0,"",ROUND(AVERAGE(F14,J14,N14,R14,V14,Z14,AD14,AH14,AL14),2))</f>
        <v>90.89</v>
      </c>
      <c r="AQ14" s="30">
        <v>7</v>
      </c>
      <c r="AR14" s="61" t="str">
        <f>IF(B14="","",B14)</f>
        <v>FLORES GOTTLIEB SANTIAGO</v>
      </c>
      <c r="AS14" s="40">
        <v>89</v>
      </c>
      <c r="AT14" s="41"/>
      <c r="AU14" s="42"/>
      <c r="AV14" s="43">
        <f>IF(SUM(AS14:AU14)=0,"",ROUND(AVERAGE(AS14:AU14),0))</f>
        <v>89</v>
      </c>
      <c r="AW14" s="44">
        <v>85</v>
      </c>
      <c r="AX14" s="41"/>
      <c r="AY14" s="42"/>
      <c r="AZ14" s="42">
        <f>IF(SUM(AW14:AY14)=0,"",ROUND(AVERAGE(AW14:AY14),0))</f>
        <v>85</v>
      </c>
      <c r="BA14" s="40">
        <v>82</v>
      </c>
      <c r="BB14" s="41"/>
      <c r="BC14" s="42"/>
      <c r="BD14" s="43">
        <f>IF(SUM(BA14:BC14)=0,"",ROUND(AVERAGE(BA14:BC14),0))</f>
        <v>82</v>
      </c>
      <c r="BE14" s="40">
        <v>84.0</v>
      </c>
      <c r="BF14" s="41"/>
      <c r="BG14" s="42"/>
      <c r="BH14" s="43">
        <f>IF(SUM(BE14:BG14)=0,"",ROUND(AVERAGE(BE14:BG14),0))</f>
        <v>84</v>
      </c>
      <c r="BI14" s="31">
        <v>87.0</v>
      </c>
      <c r="BJ14" s="32"/>
      <c r="BK14" s="33"/>
      <c r="BL14" s="34">
        <f>IF(SUM(BI14:BK14)=0,"",ROUND(AVERAGE(BI14:BK14),0))</f>
        <v>87</v>
      </c>
      <c r="BM14" s="44">
        <v>90</v>
      </c>
      <c r="BN14" s="41"/>
      <c r="BO14" s="42"/>
      <c r="BP14" s="42">
        <f>IF(SUM(BM14:BO14)=0,"",ROUND(AVERAGE(BM14:BO14),0))</f>
        <v>90</v>
      </c>
      <c r="BQ14" s="40">
        <v>88</v>
      </c>
      <c r="BR14" s="41"/>
      <c r="BS14" s="42"/>
      <c r="BT14" s="43">
        <f>IF(SUM(BQ14:BS14)=0,"",ROUND(AVERAGE(BQ14:BS14),0))</f>
        <v>88</v>
      </c>
      <c r="BU14" s="31">
        <v>89.0</v>
      </c>
      <c r="BV14" s="32"/>
      <c r="BW14" s="33"/>
      <c r="BX14" s="34">
        <f>IF(SUM(BU14:BW14)=0,"",ROUND(AVERAGE(BU14:BW14),0))</f>
        <v>89</v>
      </c>
    </row>
    <row r="15" spans="1:80" customHeight="1" ht="15.75">
      <c r="A15" s="30">
        <v>8</v>
      </c>
      <c r="B15" s="61" t="s">
        <v>38</v>
      </c>
      <c r="C15" s="31">
        <f>IF(BI15="","",BI15)</f>
        <v>81</v>
      </c>
      <c r="D15" s="32" t="str">
        <f>IF(BJ15="","",BJ15)</f>
        <v/>
      </c>
      <c r="E15" s="33" t="str">
        <f>IF(BK15="","",BK15)</f>
        <v/>
      </c>
      <c r="F15" s="34">
        <f>IF(BL15="","",BL15)</f>
        <v>81</v>
      </c>
      <c r="G15" s="31">
        <v>90</v>
      </c>
      <c r="H15" s="32"/>
      <c r="I15" s="33"/>
      <c r="J15" s="34">
        <f>IF(SUM(G15:I15)=0,"",ROUND(AVERAGE(G15:I15),0))</f>
        <v>90</v>
      </c>
      <c r="K15" s="35">
        <v>87</v>
      </c>
      <c r="L15" s="32"/>
      <c r="M15" s="33"/>
      <c r="N15" s="33">
        <f>IF(SUM(K15:M15)=0,"",ROUND(AVERAGE(K15:M15),0))</f>
        <v>87</v>
      </c>
      <c r="O15" s="31">
        <v>82</v>
      </c>
      <c r="P15" s="32"/>
      <c r="Q15" s="33"/>
      <c r="R15" s="34">
        <f>IF(SUM(O15:Q15)=0,"",ROUND(AVERAGE(O15:Q15),0))</f>
        <v>82</v>
      </c>
      <c r="S15" s="31">
        <v>82</v>
      </c>
      <c r="T15" s="32"/>
      <c r="U15" s="33"/>
      <c r="V15" s="34">
        <f>IF(SUM(S15:U15)=0,"",ROUND(AVERAGE(S15:U15),0))</f>
        <v>82</v>
      </c>
      <c r="W15" s="35">
        <v>82</v>
      </c>
      <c r="X15" s="32"/>
      <c r="Y15" s="33"/>
      <c r="Z15" s="33">
        <f>IF(SUM(W15:Y15)=0,"",ROUND(AVERAGE(W15:Y15),0))</f>
        <v>82</v>
      </c>
      <c r="AA15" s="31">
        <v>95</v>
      </c>
      <c r="AB15" s="32"/>
      <c r="AC15" s="33"/>
      <c r="AD15" s="34">
        <f>IF(SUM(AA15:AC15)=0,"",ROUND(AVERAGE(AA15:AC15),0))</f>
        <v>95</v>
      </c>
      <c r="AE15" s="31">
        <f>IF(BU15="","",BU15)</f>
        <v>87</v>
      </c>
      <c r="AF15" s="32" t="str">
        <f>IF(BV15="","",BV15)</f>
        <v/>
      </c>
      <c r="AG15" s="33" t="str">
        <f>IF(BW15="","",BW15)</f>
        <v/>
      </c>
      <c r="AH15" s="34">
        <f>IF(BX15="","",BX15)</f>
        <v>87</v>
      </c>
      <c r="AI15" s="31">
        <v>92</v>
      </c>
      <c r="AJ15" s="32"/>
      <c r="AK15" s="33"/>
      <c r="AL15" s="34">
        <f>IF(SUM(AI15:AK15)=0,"",ROUND(AVERAGE(AI15:AK15),0))</f>
        <v>92</v>
      </c>
      <c r="AM15" s="36">
        <v>86.0</v>
      </c>
      <c r="AN15" s="37"/>
      <c r="AO15" s="38"/>
      <c r="AP15" s="39">
        <f>IF(SUM(F15,J15,N15,R15,V15,Z15,AD15,AH15,AL15)=0,"",ROUND(AVERAGE(F15,J15,N15,R15,V15,Z15,AD15,AH15,AL15),2))</f>
        <v>86.44</v>
      </c>
      <c r="AQ15" s="30">
        <v>8</v>
      </c>
      <c r="AR15" s="61" t="str">
        <f>IF(B15="","",B15)</f>
        <v>GONZALEZ ARCE AMAYA CAMILA</v>
      </c>
      <c r="AS15" s="40">
        <v>87</v>
      </c>
      <c r="AT15" s="41"/>
      <c r="AU15" s="42"/>
      <c r="AV15" s="43">
        <f>IF(SUM(AS15:AU15)=0,"",ROUND(AVERAGE(AS15:AU15),0))</f>
        <v>87</v>
      </c>
      <c r="AW15" s="44">
        <v>78</v>
      </c>
      <c r="AX15" s="41"/>
      <c r="AY15" s="42"/>
      <c r="AZ15" s="42">
        <f>IF(SUM(AW15:AY15)=0,"",ROUND(AVERAGE(AW15:AY15),0))</f>
        <v>78</v>
      </c>
      <c r="BA15" s="40">
        <v>71</v>
      </c>
      <c r="BB15" s="41"/>
      <c r="BC15" s="42"/>
      <c r="BD15" s="43">
        <f>IF(SUM(BA15:BC15)=0,"",ROUND(AVERAGE(BA15:BC15),0))</f>
        <v>71</v>
      </c>
      <c r="BE15" s="40">
        <v>75.0</v>
      </c>
      <c r="BF15" s="41"/>
      <c r="BG15" s="42"/>
      <c r="BH15" s="43">
        <f>IF(SUM(BE15:BG15)=0,"",ROUND(AVERAGE(BE15:BG15),0))</f>
        <v>75</v>
      </c>
      <c r="BI15" s="31">
        <v>81.0</v>
      </c>
      <c r="BJ15" s="32"/>
      <c r="BK15" s="33"/>
      <c r="BL15" s="34">
        <f>IF(SUM(BI15:BK15)=0,"",ROUND(AVERAGE(BI15:BK15),0))</f>
        <v>81</v>
      </c>
      <c r="BM15" s="44">
        <v>88</v>
      </c>
      <c r="BN15" s="41"/>
      <c r="BO15" s="42"/>
      <c r="BP15" s="42">
        <f>IF(SUM(BM15:BO15)=0,"",ROUND(AVERAGE(BM15:BO15),0))</f>
        <v>88</v>
      </c>
      <c r="BQ15" s="40">
        <v>86</v>
      </c>
      <c r="BR15" s="41"/>
      <c r="BS15" s="42"/>
      <c r="BT15" s="43">
        <f>IF(SUM(BQ15:BS15)=0,"",ROUND(AVERAGE(BQ15:BS15),0))</f>
        <v>86</v>
      </c>
      <c r="BU15" s="31">
        <v>87.0</v>
      </c>
      <c r="BV15" s="32"/>
      <c r="BW15" s="33"/>
      <c r="BX15" s="34">
        <f>IF(SUM(BU15:BW15)=0,"",ROUND(AVERAGE(BU15:BW15),0))</f>
        <v>87</v>
      </c>
    </row>
    <row r="16" spans="1:80" customHeight="1" ht="15.75">
      <c r="A16" s="30">
        <v>9</v>
      </c>
      <c r="B16" s="61" t="s">
        <v>39</v>
      </c>
      <c r="C16" s="31">
        <f>IF(BI16="","",BI16)</f>
        <v>96</v>
      </c>
      <c r="D16" s="32" t="str">
        <f>IF(BJ16="","",BJ16)</f>
        <v/>
      </c>
      <c r="E16" s="33" t="str">
        <f>IF(BK16="","",BK16)</f>
        <v/>
      </c>
      <c r="F16" s="34">
        <f>IF(BL16="","",BL16)</f>
        <v>96</v>
      </c>
      <c r="G16" s="31">
        <v>96</v>
      </c>
      <c r="H16" s="32"/>
      <c r="I16" s="33"/>
      <c r="J16" s="34">
        <f>IF(SUM(G16:I16)=0,"",ROUND(AVERAGE(G16:I16),0))</f>
        <v>96</v>
      </c>
      <c r="K16" s="35">
        <v>97</v>
      </c>
      <c r="L16" s="32"/>
      <c r="M16" s="33"/>
      <c r="N16" s="33">
        <f>IF(SUM(K16:M16)=0,"",ROUND(AVERAGE(K16:M16),0))</f>
        <v>97</v>
      </c>
      <c r="O16" s="31">
        <v>96</v>
      </c>
      <c r="P16" s="32"/>
      <c r="Q16" s="33"/>
      <c r="R16" s="34">
        <f>IF(SUM(O16:Q16)=0,"",ROUND(AVERAGE(O16:Q16),0))</f>
        <v>96</v>
      </c>
      <c r="S16" s="31">
        <v>94</v>
      </c>
      <c r="T16" s="32"/>
      <c r="U16" s="33"/>
      <c r="V16" s="34">
        <f>IF(SUM(S16:U16)=0,"",ROUND(AVERAGE(S16:U16),0))</f>
        <v>94</v>
      </c>
      <c r="W16" s="35">
        <v>96</v>
      </c>
      <c r="X16" s="32"/>
      <c r="Y16" s="33"/>
      <c r="Z16" s="33">
        <f>IF(SUM(W16:Y16)=0,"",ROUND(AVERAGE(W16:Y16),0))</f>
        <v>96</v>
      </c>
      <c r="AA16" s="31">
        <v>100</v>
      </c>
      <c r="AB16" s="32"/>
      <c r="AC16" s="33"/>
      <c r="AD16" s="34">
        <f>IF(SUM(AA16:AC16)=0,"",ROUND(AVERAGE(AA16:AC16),0))</f>
        <v>100</v>
      </c>
      <c r="AE16" s="31">
        <f>IF(BU16="","",BU16)</f>
        <v>92</v>
      </c>
      <c r="AF16" s="32" t="str">
        <f>IF(BV16="","",BV16)</f>
        <v/>
      </c>
      <c r="AG16" s="33" t="str">
        <f>IF(BW16="","",BW16)</f>
        <v/>
      </c>
      <c r="AH16" s="34">
        <f>IF(BX16="","",BX16)</f>
        <v>92</v>
      </c>
      <c r="AI16" s="31">
        <v>100</v>
      </c>
      <c r="AJ16" s="32"/>
      <c r="AK16" s="33"/>
      <c r="AL16" s="34">
        <f>IF(SUM(AI16:AK16)=0,"",ROUND(AVERAGE(AI16:AK16),0))</f>
        <v>100</v>
      </c>
      <c r="AM16" s="36">
        <v>96.0</v>
      </c>
      <c r="AN16" s="37"/>
      <c r="AO16" s="38"/>
      <c r="AP16" s="39">
        <f>IF(SUM(F16,J16,N16,R16,V16,Z16,AD16,AH16,AL16)=0,"",ROUND(AVERAGE(F16,J16,N16,R16,V16,Z16,AD16,AH16,AL16),2))</f>
        <v>96.33</v>
      </c>
      <c r="AQ16" s="30">
        <v>9</v>
      </c>
      <c r="AR16" s="61" t="str">
        <f>IF(B16="","",B16)</f>
        <v>IBAÑEZ VILLARROEL AMELIA</v>
      </c>
      <c r="AS16" s="40">
        <v>97</v>
      </c>
      <c r="AT16" s="41"/>
      <c r="AU16" s="42"/>
      <c r="AV16" s="43">
        <f>IF(SUM(AS16:AU16)=0,"",ROUND(AVERAGE(AS16:AU16),0))</f>
        <v>97</v>
      </c>
      <c r="AW16" s="44">
        <v>98</v>
      </c>
      <c r="AX16" s="41"/>
      <c r="AY16" s="42"/>
      <c r="AZ16" s="42">
        <f>IF(SUM(AW16:AY16)=0,"",ROUND(AVERAGE(AW16:AY16),0))</f>
        <v>98</v>
      </c>
      <c r="BA16" s="40">
        <v>92</v>
      </c>
      <c r="BB16" s="41"/>
      <c r="BC16" s="42"/>
      <c r="BD16" s="43">
        <f>IF(SUM(BA16:BC16)=0,"",ROUND(AVERAGE(BA16:BC16),0))</f>
        <v>92</v>
      </c>
      <c r="BE16" s="40">
        <v>95.0</v>
      </c>
      <c r="BF16" s="41"/>
      <c r="BG16" s="42"/>
      <c r="BH16" s="43">
        <f>IF(SUM(BE16:BG16)=0,"",ROUND(AVERAGE(BE16:BG16),0))</f>
        <v>95</v>
      </c>
      <c r="BI16" s="31">
        <v>96.0</v>
      </c>
      <c r="BJ16" s="32"/>
      <c r="BK16" s="33"/>
      <c r="BL16" s="34">
        <f>IF(SUM(BI16:BK16)=0,"",ROUND(AVERAGE(BI16:BK16),0))</f>
        <v>96</v>
      </c>
      <c r="BM16" s="44">
        <v>91</v>
      </c>
      <c r="BN16" s="41"/>
      <c r="BO16" s="42"/>
      <c r="BP16" s="42">
        <f>IF(SUM(BM16:BO16)=0,"",ROUND(AVERAGE(BM16:BO16),0))</f>
        <v>91</v>
      </c>
      <c r="BQ16" s="40">
        <v>92</v>
      </c>
      <c r="BR16" s="41"/>
      <c r="BS16" s="42"/>
      <c r="BT16" s="43">
        <f>IF(SUM(BQ16:BS16)=0,"",ROUND(AVERAGE(BQ16:BS16),0))</f>
        <v>92</v>
      </c>
      <c r="BU16" s="31">
        <v>92.0</v>
      </c>
      <c r="BV16" s="32"/>
      <c r="BW16" s="33"/>
      <c r="BX16" s="34">
        <f>IF(SUM(BU16:BW16)=0,"",ROUND(AVERAGE(BU16:BW16),0))</f>
        <v>92</v>
      </c>
    </row>
    <row r="17" spans="1:80" customHeight="1" ht="15.75">
      <c r="A17" s="30">
        <v>10</v>
      </c>
      <c r="B17" s="61" t="s">
        <v>40</v>
      </c>
      <c r="C17" s="31">
        <f>IF(BI17="","",BI17)</f>
        <v>89</v>
      </c>
      <c r="D17" s="32" t="str">
        <f>IF(BJ17="","",BJ17)</f>
        <v/>
      </c>
      <c r="E17" s="33" t="str">
        <f>IF(BK17="","",BK17)</f>
        <v/>
      </c>
      <c r="F17" s="34">
        <f>IF(BL17="","",BL17)</f>
        <v>89</v>
      </c>
      <c r="G17" s="31">
        <v>91</v>
      </c>
      <c r="H17" s="32"/>
      <c r="I17" s="33"/>
      <c r="J17" s="34">
        <f>IF(SUM(G17:I17)=0,"",ROUND(AVERAGE(G17:I17),0))</f>
        <v>91</v>
      </c>
      <c r="K17" s="35">
        <v>95</v>
      </c>
      <c r="L17" s="32"/>
      <c r="M17" s="33"/>
      <c r="N17" s="33">
        <f>IF(SUM(K17:M17)=0,"",ROUND(AVERAGE(K17:M17),0))</f>
        <v>95</v>
      </c>
      <c r="O17" s="31">
        <v>86</v>
      </c>
      <c r="P17" s="32"/>
      <c r="Q17" s="33"/>
      <c r="R17" s="34">
        <f>IF(SUM(O17:Q17)=0,"",ROUND(AVERAGE(O17:Q17),0))</f>
        <v>86</v>
      </c>
      <c r="S17" s="31">
        <v>67</v>
      </c>
      <c r="T17" s="32"/>
      <c r="U17" s="33"/>
      <c r="V17" s="34">
        <f>IF(SUM(S17:U17)=0,"",ROUND(AVERAGE(S17:U17),0))</f>
        <v>67</v>
      </c>
      <c r="W17" s="35">
        <v>91</v>
      </c>
      <c r="X17" s="32"/>
      <c r="Y17" s="33"/>
      <c r="Z17" s="33">
        <f>IF(SUM(W17:Y17)=0,"",ROUND(AVERAGE(W17:Y17),0))</f>
        <v>91</v>
      </c>
      <c r="AA17" s="31">
        <v>99</v>
      </c>
      <c r="AB17" s="32"/>
      <c r="AC17" s="33"/>
      <c r="AD17" s="34">
        <f>IF(SUM(AA17:AC17)=0,"",ROUND(AVERAGE(AA17:AC17),0))</f>
        <v>99</v>
      </c>
      <c r="AE17" s="31">
        <f>IF(BU17="","",BU17)</f>
        <v>90</v>
      </c>
      <c r="AF17" s="32" t="str">
        <f>IF(BV17="","",BV17)</f>
        <v/>
      </c>
      <c r="AG17" s="33" t="str">
        <f>IF(BW17="","",BW17)</f>
        <v/>
      </c>
      <c r="AH17" s="34">
        <f>IF(BX17="","",BX17)</f>
        <v>90</v>
      </c>
      <c r="AI17" s="31">
        <v>96</v>
      </c>
      <c r="AJ17" s="32"/>
      <c r="AK17" s="33"/>
      <c r="AL17" s="34">
        <f>IF(SUM(AI17:AK17)=0,"",ROUND(AVERAGE(AI17:AK17),0))</f>
        <v>96</v>
      </c>
      <c r="AM17" s="36">
        <v>89.0</v>
      </c>
      <c r="AN17" s="37"/>
      <c r="AO17" s="38"/>
      <c r="AP17" s="39">
        <f>IF(SUM(F17,J17,N17,R17,V17,Z17,AD17,AH17,AL17)=0,"",ROUND(AVERAGE(F17,J17,N17,R17,V17,Z17,AD17,AH17,AL17),2))</f>
        <v>89.33</v>
      </c>
      <c r="AQ17" s="30">
        <v>10</v>
      </c>
      <c r="AR17" s="61" t="str">
        <f>IF(B17="","",B17)</f>
        <v>JIMENEZ LACAZE BRUNO</v>
      </c>
      <c r="AS17" s="40">
        <v>95</v>
      </c>
      <c r="AT17" s="41"/>
      <c r="AU17" s="42"/>
      <c r="AV17" s="43">
        <f>IF(SUM(AS17:AU17)=0,"",ROUND(AVERAGE(AS17:AU17),0))</f>
        <v>95</v>
      </c>
      <c r="AW17" s="44">
        <v>88</v>
      </c>
      <c r="AX17" s="41"/>
      <c r="AY17" s="42"/>
      <c r="AZ17" s="42">
        <f>IF(SUM(AW17:AY17)=0,"",ROUND(AVERAGE(AW17:AY17),0))</f>
        <v>88</v>
      </c>
      <c r="BA17" s="40">
        <v>77</v>
      </c>
      <c r="BB17" s="41"/>
      <c r="BC17" s="42"/>
      <c r="BD17" s="43">
        <f>IF(SUM(BA17:BC17)=0,"",ROUND(AVERAGE(BA17:BC17),0))</f>
        <v>77</v>
      </c>
      <c r="BE17" s="40">
        <v>83.0</v>
      </c>
      <c r="BF17" s="41"/>
      <c r="BG17" s="42"/>
      <c r="BH17" s="43">
        <f>IF(SUM(BE17:BG17)=0,"",ROUND(AVERAGE(BE17:BG17),0))</f>
        <v>83</v>
      </c>
      <c r="BI17" s="31">
        <v>89.0</v>
      </c>
      <c r="BJ17" s="32"/>
      <c r="BK17" s="33"/>
      <c r="BL17" s="34">
        <f>IF(SUM(BI17:BK17)=0,"",ROUND(AVERAGE(BI17:BK17),0))</f>
        <v>89</v>
      </c>
      <c r="BM17" s="44">
        <v>91</v>
      </c>
      <c r="BN17" s="41"/>
      <c r="BO17" s="42"/>
      <c r="BP17" s="42">
        <f>IF(SUM(BM17:BO17)=0,"",ROUND(AVERAGE(BM17:BO17),0))</f>
        <v>91</v>
      </c>
      <c r="BQ17" s="40">
        <v>88</v>
      </c>
      <c r="BR17" s="41"/>
      <c r="BS17" s="42"/>
      <c r="BT17" s="43">
        <f>IF(SUM(BQ17:BS17)=0,"",ROUND(AVERAGE(BQ17:BS17),0))</f>
        <v>88</v>
      </c>
      <c r="BU17" s="31">
        <v>90.0</v>
      </c>
      <c r="BV17" s="32"/>
      <c r="BW17" s="33"/>
      <c r="BX17" s="34">
        <f>IF(SUM(BU17:BW17)=0,"",ROUND(AVERAGE(BU17:BW17),0))</f>
        <v>90</v>
      </c>
    </row>
    <row r="18" spans="1:80" customHeight="1" ht="15.75">
      <c r="A18" s="30">
        <v>11</v>
      </c>
      <c r="B18" s="61" t="s">
        <v>41</v>
      </c>
      <c r="C18" s="31">
        <f>IF(BI18="","",BI18)</f>
        <v>71</v>
      </c>
      <c r="D18" s="32" t="str">
        <f>IF(BJ18="","",BJ18)</f>
        <v/>
      </c>
      <c r="E18" s="33" t="str">
        <f>IF(BK18="","",BK18)</f>
        <v/>
      </c>
      <c r="F18" s="34">
        <f>IF(BL18="","",BL18)</f>
        <v>71</v>
      </c>
      <c r="G18" s="31">
        <v>88</v>
      </c>
      <c r="H18" s="32"/>
      <c r="I18" s="33"/>
      <c r="J18" s="34">
        <f>IF(SUM(G18:I18)=0,"",ROUND(AVERAGE(G18:I18),0))</f>
        <v>88</v>
      </c>
      <c r="K18" s="35">
        <v>86</v>
      </c>
      <c r="L18" s="32"/>
      <c r="M18" s="33"/>
      <c r="N18" s="33">
        <f>IF(SUM(K18:M18)=0,"",ROUND(AVERAGE(K18:M18),0))</f>
        <v>86</v>
      </c>
      <c r="O18" s="31">
        <v>78</v>
      </c>
      <c r="P18" s="32"/>
      <c r="Q18" s="33"/>
      <c r="R18" s="34">
        <f>IF(SUM(O18:Q18)=0,"",ROUND(AVERAGE(O18:Q18),0))</f>
        <v>78</v>
      </c>
      <c r="S18" s="31">
        <v>80</v>
      </c>
      <c r="T18" s="32"/>
      <c r="U18" s="33"/>
      <c r="V18" s="34">
        <f>IF(SUM(S18:U18)=0,"",ROUND(AVERAGE(S18:U18),0))</f>
        <v>80</v>
      </c>
      <c r="W18" s="35">
        <v>88</v>
      </c>
      <c r="X18" s="32"/>
      <c r="Y18" s="33"/>
      <c r="Z18" s="33">
        <f>IF(SUM(W18:Y18)=0,"",ROUND(AVERAGE(W18:Y18),0))</f>
        <v>88</v>
      </c>
      <c r="AA18" s="31">
        <v>98</v>
      </c>
      <c r="AB18" s="32"/>
      <c r="AC18" s="33"/>
      <c r="AD18" s="34">
        <f>IF(SUM(AA18:AC18)=0,"",ROUND(AVERAGE(AA18:AC18),0))</f>
        <v>98</v>
      </c>
      <c r="AE18" s="31">
        <f>IF(BU18="","",BU18)</f>
        <v>84</v>
      </c>
      <c r="AF18" s="32" t="str">
        <f>IF(BV18="","",BV18)</f>
        <v/>
      </c>
      <c r="AG18" s="33" t="str">
        <f>IF(BW18="","",BW18)</f>
        <v/>
      </c>
      <c r="AH18" s="34">
        <f>IF(BX18="","",BX18)</f>
        <v>84</v>
      </c>
      <c r="AI18" s="31">
        <v>94</v>
      </c>
      <c r="AJ18" s="32"/>
      <c r="AK18" s="33"/>
      <c r="AL18" s="34">
        <f>IF(SUM(AI18:AK18)=0,"",ROUND(AVERAGE(AI18:AK18),0))</f>
        <v>94</v>
      </c>
      <c r="AM18" s="36">
        <v>85.0</v>
      </c>
      <c r="AN18" s="37"/>
      <c r="AO18" s="38"/>
      <c r="AP18" s="39">
        <f>IF(SUM(F18,J18,N18,R18,V18,Z18,AD18,AH18,AL18)=0,"",ROUND(AVERAGE(F18,J18,N18,R18,V18,Z18,AD18,AH18,AL18),2))</f>
        <v>85.22</v>
      </c>
      <c r="AQ18" s="30">
        <v>11</v>
      </c>
      <c r="AR18" s="61" t="str">
        <f>IF(B18="","",B18)</f>
        <v>QUIROGA MORRIS MARTINA</v>
      </c>
      <c r="AS18" s="40">
        <v>69</v>
      </c>
      <c r="AT18" s="41"/>
      <c r="AU18" s="42"/>
      <c r="AV18" s="43">
        <f>IF(SUM(AS18:AU18)=0,"",ROUND(AVERAGE(AS18:AU18),0))</f>
        <v>69</v>
      </c>
      <c r="AW18" s="44">
        <v>78</v>
      </c>
      <c r="AX18" s="41"/>
      <c r="AY18" s="42"/>
      <c r="AZ18" s="42">
        <f>IF(SUM(AW18:AY18)=0,"",ROUND(AVERAGE(AW18:AY18),0))</f>
        <v>78</v>
      </c>
      <c r="BA18" s="40">
        <v>68</v>
      </c>
      <c r="BB18" s="41"/>
      <c r="BC18" s="42"/>
      <c r="BD18" s="43">
        <f>IF(SUM(BA18:BC18)=0,"",ROUND(AVERAGE(BA18:BC18),0))</f>
        <v>68</v>
      </c>
      <c r="BE18" s="40">
        <v>73.0</v>
      </c>
      <c r="BF18" s="41"/>
      <c r="BG18" s="42"/>
      <c r="BH18" s="43">
        <f>IF(SUM(BE18:BG18)=0,"",ROUND(AVERAGE(BE18:BG18),0))</f>
        <v>73</v>
      </c>
      <c r="BI18" s="31">
        <v>71.0</v>
      </c>
      <c r="BJ18" s="32"/>
      <c r="BK18" s="33"/>
      <c r="BL18" s="34">
        <f>IF(SUM(BI18:BK18)=0,"",ROUND(AVERAGE(BI18:BK18),0))</f>
        <v>71</v>
      </c>
      <c r="BM18" s="44">
        <v>90</v>
      </c>
      <c r="BN18" s="41"/>
      <c r="BO18" s="42"/>
      <c r="BP18" s="42">
        <f>IF(SUM(BM18:BO18)=0,"",ROUND(AVERAGE(BM18:BO18),0))</f>
        <v>90</v>
      </c>
      <c r="BQ18" s="40">
        <v>78</v>
      </c>
      <c r="BR18" s="41"/>
      <c r="BS18" s="42"/>
      <c r="BT18" s="43">
        <f>IF(SUM(BQ18:BS18)=0,"",ROUND(AVERAGE(BQ18:BS18),0))</f>
        <v>78</v>
      </c>
      <c r="BU18" s="31">
        <v>84.0</v>
      </c>
      <c r="BV18" s="32"/>
      <c r="BW18" s="33"/>
      <c r="BX18" s="34">
        <f>IF(SUM(BU18:BW18)=0,"",ROUND(AVERAGE(BU18:BW18),0))</f>
        <v>84</v>
      </c>
    </row>
    <row r="19" spans="1:80" customHeight="1" ht="15.75">
      <c r="A19" s="30">
        <v>12</v>
      </c>
      <c r="B19" s="61" t="s">
        <v>42</v>
      </c>
      <c r="C19" s="31">
        <f>IF(BI19="","",BI19)</f>
        <v>88</v>
      </c>
      <c r="D19" s="32" t="str">
        <f>IF(BJ19="","",BJ19)</f>
        <v/>
      </c>
      <c r="E19" s="33" t="str">
        <f>IF(BK19="","",BK19)</f>
        <v/>
      </c>
      <c r="F19" s="34">
        <f>IF(BL19="","",BL19)</f>
        <v>88</v>
      </c>
      <c r="G19" s="31">
        <v>91</v>
      </c>
      <c r="H19" s="32"/>
      <c r="I19" s="33"/>
      <c r="J19" s="34">
        <f>IF(SUM(G19:I19)=0,"",ROUND(AVERAGE(G19:I19),0))</f>
        <v>91</v>
      </c>
      <c r="K19" s="35">
        <v>92</v>
      </c>
      <c r="L19" s="32"/>
      <c r="M19" s="33"/>
      <c r="N19" s="33">
        <f>IF(SUM(K19:M19)=0,"",ROUND(AVERAGE(K19:M19),0))</f>
        <v>92</v>
      </c>
      <c r="O19" s="31">
        <v>89</v>
      </c>
      <c r="P19" s="32"/>
      <c r="Q19" s="33"/>
      <c r="R19" s="34">
        <f>IF(SUM(O19:Q19)=0,"",ROUND(AVERAGE(O19:Q19),0))</f>
        <v>89</v>
      </c>
      <c r="S19" s="31">
        <v>83</v>
      </c>
      <c r="T19" s="32"/>
      <c r="U19" s="33"/>
      <c r="V19" s="34">
        <f>IF(SUM(S19:U19)=0,"",ROUND(AVERAGE(S19:U19),0))</f>
        <v>83</v>
      </c>
      <c r="W19" s="35">
        <v>95</v>
      </c>
      <c r="X19" s="32"/>
      <c r="Y19" s="33"/>
      <c r="Z19" s="33">
        <f>IF(SUM(W19:Y19)=0,"",ROUND(AVERAGE(W19:Y19),0))</f>
        <v>95</v>
      </c>
      <c r="AA19" s="31">
        <v>98</v>
      </c>
      <c r="AB19" s="32"/>
      <c r="AC19" s="33"/>
      <c r="AD19" s="34">
        <f>IF(SUM(AA19:AC19)=0,"",ROUND(AVERAGE(AA19:AC19),0))</f>
        <v>98</v>
      </c>
      <c r="AE19" s="31">
        <f>IF(BU19="","",BU19)</f>
        <v>91</v>
      </c>
      <c r="AF19" s="32" t="str">
        <f>IF(BV19="","",BV19)</f>
        <v/>
      </c>
      <c r="AG19" s="33" t="str">
        <f>IF(BW19="","",BW19)</f>
        <v/>
      </c>
      <c r="AH19" s="34">
        <f>IF(BX19="","",BX19)</f>
        <v>91</v>
      </c>
      <c r="AI19" s="31">
        <v>100</v>
      </c>
      <c r="AJ19" s="32"/>
      <c r="AK19" s="33"/>
      <c r="AL19" s="34">
        <f>IF(SUM(AI19:AK19)=0,"",ROUND(AVERAGE(AI19:AK19),0))</f>
        <v>100</v>
      </c>
      <c r="AM19" s="36">
        <v>92.0</v>
      </c>
      <c r="AN19" s="37"/>
      <c r="AO19" s="38"/>
      <c r="AP19" s="39">
        <f>IF(SUM(F19,J19,N19,R19,V19,Z19,AD19,AH19,AL19)=0,"",ROUND(AVERAGE(F19,J19,N19,R19,V19,Z19,AD19,AH19,AL19),2))</f>
        <v>91.89</v>
      </c>
      <c r="AQ19" s="30">
        <v>12</v>
      </c>
      <c r="AR19" s="61" t="str">
        <f>IF(B19="","",B19)</f>
        <v>ROJAS MAYER ALANA</v>
      </c>
      <c r="AS19" s="40">
        <v>92</v>
      </c>
      <c r="AT19" s="41"/>
      <c r="AU19" s="42"/>
      <c r="AV19" s="43">
        <f>IF(SUM(AS19:AU19)=0,"",ROUND(AVERAGE(AS19:AU19),0))</f>
        <v>92</v>
      </c>
      <c r="AW19" s="44">
        <v>83</v>
      </c>
      <c r="AX19" s="41"/>
      <c r="AY19" s="42"/>
      <c r="AZ19" s="42">
        <f>IF(SUM(AW19:AY19)=0,"",ROUND(AVERAGE(AW19:AY19),0))</f>
        <v>83</v>
      </c>
      <c r="BA19" s="40">
        <v>84</v>
      </c>
      <c r="BB19" s="41"/>
      <c r="BC19" s="42"/>
      <c r="BD19" s="43">
        <f>IF(SUM(BA19:BC19)=0,"",ROUND(AVERAGE(BA19:BC19),0))</f>
        <v>84</v>
      </c>
      <c r="BE19" s="40">
        <v>84.0</v>
      </c>
      <c r="BF19" s="41"/>
      <c r="BG19" s="42"/>
      <c r="BH19" s="43">
        <f>IF(SUM(BE19:BG19)=0,"",ROUND(AVERAGE(BE19:BG19),0))</f>
        <v>84</v>
      </c>
      <c r="BI19" s="31">
        <v>88.0</v>
      </c>
      <c r="BJ19" s="32"/>
      <c r="BK19" s="33"/>
      <c r="BL19" s="34">
        <f>IF(SUM(BI19:BK19)=0,"",ROUND(AVERAGE(BI19:BK19),0))</f>
        <v>88</v>
      </c>
      <c r="BM19" s="44">
        <v>92</v>
      </c>
      <c r="BN19" s="41"/>
      <c r="BO19" s="42"/>
      <c r="BP19" s="42">
        <f>IF(SUM(BM19:BO19)=0,"",ROUND(AVERAGE(BM19:BO19),0))</f>
        <v>92</v>
      </c>
      <c r="BQ19" s="40">
        <v>90</v>
      </c>
      <c r="BR19" s="41"/>
      <c r="BS19" s="42"/>
      <c r="BT19" s="43">
        <f>IF(SUM(BQ19:BS19)=0,"",ROUND(AVERAGE(BQ19:BS19),0))</f>
        <v>90</v>
      </c>
      <c r="BU19" s="31">
        <v>91.0</v>
      </c>
      <c r="BV19" s="32"/>
      <c r="BW19" s="33"/>
      <c r="BX19" s="34">
        <f>IF(SUM(BU19:BW19)=0,"",ROUND(AVERAGE(BU19:BW19),0))</f>
        <v>91</v>
      </c>
    </row>
    <row r="20" spans="1:80" customHeight="1" ht="15.75">
      <c r="A20" s="30">
        <v>13</v>
      </c>
      <c r="B20" s="61" t="s">
        <v>43</v>
      </c>
      <c r="C20" s="31">
        <f>IF(BI20="","",BI20)</f>
        <v>88</v>
      </c>
      <c r="D20" s="32" t="str">
        <f>IF(BJ20="","",BJ20)</f>
        <v/>
      </c>
      <c r="E20" s="33" t="str">
        <f>IF(BK20="","",BK20)</f>
        <v/>
      </c>
      <c r="F20" s="34">
        <f>IF(BL20="","",BL20)</f>
        <v>88</v>
      </c>
      <c r="G20" s="31">
        <v>94</v>
      </c>
      <c r="H20" s="32"/>
      <c r="I20" s="33"/>
      <c r="J20" s="34">
        <f>IF(SUM(G20:I20)=0,"",ROUND(AVERAGE(G20:I20),0))</f>
        <v>94</v>
      </c>
      <c r="K20" s="35">
        <v>98</v>
      </c>
      <c r="L20" s="32"/>
      <c r="M20" s="33"/>
      <c r="N20" s="33">
        <f>IF(SUM(K20:M20)=0,"",ROUND(AVERAGE(K20:M20),0))</f>
        <v>98</v>
      </c>
      <c r="O20" s="31">
        <v>92</v>
      </c>
      <c r="P20" s="32"/>
      <c r="Q20" s="33"/>
      <c r="R20" s="34">
        <f>IF(SUM(O20:Q20)=0,"",ROUND(AVERAGE(O20:Q20),0))</f>
        <v>92</v>
      </c>
      <c r="S20" s="31">
        <v>85</v>
      </c>
      <c r="T20" s="32"/>
      <c r="U20" s="33"/>
      <c r="V20" s="34">
        <f>IF(SUM(S20:U20)=0,"",ROUND(AVERAGE(S20:U20),0))</f>
        <v>85</v>
      </c>
      <c r="W20" s="35">
        <v>91</v>
      </c>
      <c r="X20" s="32"/>
      <c r="Y20" s="33"/>
      <c r="Z20" s="33">
        <f>IF(SUM(W20:Y20)=0,"",ROUND(AVERAGE(W20:Y20),0))</f>
        <v>91</v>
      </c>
      <c r="AA20" s="31">
        <v>98</v>
      </c>
      <c r="AB20" s="32"/>
      <c r="AC20" s="33"/>
      <c r="AD20" s="34">
        <f>IF(SUM(AA20:AC20)=0,"",ROUND(AVERAGE(AA20:AC20),0))</f>
        <v>98</v>
      </c>
      <c r="AE20" s="31">
        <f>IF(BU20="","",BU20)</f>
        <v>92</v>
      </c>
      <c r="AF20" s="32" t="str">
        <f>IF(BV20="","",BV20)</f>
        <v/>
      </c>
      <c r="AG20" s="33" t="str">
        <f>IF(BW20="","",BW20)</f>
        <v/>
      </c>
      <c r="AH20" s="34">
        <f>IF(BX20="","",BX20)</f>
        <v>92</v>
      </c>
      <c r="AI20" s="31">
        <v>99</v>
      </c>
      <c r="AJ20" s="32"/>
      <c r="AK20" s="33"/>
      <c r="AL20" s="34">
        <f>IF(SUM(AI20:AK20)=0,"",ROUND(AVERAGE(AI20:AK20),0))</f>
        <v>99</v>
      </c>
      <c r="AM20" s="36">
        <v>93.0</v>
      </c>
      <c r="AN20" s="37"/>
      <c r="AO20" s="38"/>
      <c r="AP20" s="39">
        <f>IF(SUM(F20,J20,N20,R20,V20,Z20,AD20,AH20,AL20)=0,"",ROUND(AVERAGE(F20,J20,N20,R20,V20,Z20,AD20,AH20,AL20),2))</f>
        <v>93</v>
      </c>
      <c r="AQ20" s="30">
        <v>13</v>
      </c>
      <c r="AR20" s="61" t="str">
        <f>IF(B20="","",B20)</f>
        <v>SAAVEDRA QUEZADA EMILIA REBECA</v>
      </c>
      <c r="AS20" s="40">
        <v>90</v>
      </c>
      <c r="AT20" s="41"/>
      <c r="AU20" s="42"/>
      <c r="AV20" s="43">
        <f>IF(SUM(AS20:AU20)=0,"",ROUND(AVERAGE(AS20:AU20),0))</f>
        <v>90</v>
      </c>
      <c r="AW20" s="44">
        <v>83</v>
      </c>
      <c r="AX20" s="41"/>
      <c r="AY20" s="42"/>
      <c r="AZ20" s="42">
        <f>IF(SUM(AW20:AY20)=0,"",ROUND(AVERAGE(AW20:AY20),0))</f>
        <v>83</v>
      </c>
      <c r="BA20" s="40">
        <v>89</v>
      </c>
      <c r="BB20" s="41"/>
      <c r="BC20" s="42"/>
      <c r="BD20" s="43">
        <f>IF(SUM(BA20:BC20)=0,"",ROUND(AVERAGE(BA20:BC20),0))</f>
        <v>89</v>
      </c>
      <c r="BE20" s="40">
        <v>86.0</v>
      </c>
      <c r="BF20" s="41"/>
      <c r="BG20" s="42"/>
      <c r="BH20" s="43">
        <f>IF(SUM(BE20:BG20)=0,"",ROUND(AVERAGE(BE20:BG20),0))</f>
        <v>86</v>
      </c>
      <c r="BI20" s="31">
        <v>88.0</v>
      </c>
      <c r="BJ20" s="32"/>
      <c r="BK20" s="33"/>
      <c r="BL20" s="34">
        <f>IF(SUM(BI20:BK20)=0,"",ROUND(AVERAGE(BI20:BK20),0))</f>
        <v>88</v>
      </c>
      <c r="BM20" s="44">
        <v>91</v>
      </c>
      <c r="BN20" s="41"/>
      <c r="BO20" s="42"/>
      <c r="BP20" s="42">
        <f>IF(SUM(BM20:BO20)=0,"",ROUND(AVERAGE(BM20:BO20),0))</f>
        <v>91</v>
      </c>
      <c r="BQ20" s="40">
        <v>92</v>
      </c>
      <c r="BR20" s="41"/>
      <c r="BS20" s="42"/>
      <c r="BT20" s="43">
        <f>IF(SUM(BQ20:BS20)=0,"",ROUND(AVERAGE(BQ20:BS20),0))</f>
        <v>92</v>
      </c>
      <c r="BU20" s="31">
        <v>92.0</v>
      </c>
      <c r="BV20" s="32"/>
      <c r="BW20" s="33"/>
      <c r="BX20" s="34">
        <f>IF(SUM(BU20:BW20)=0,"",ROUND(AVERAGE(BU20:BW20),0))</f>
        <v>92</v>
      </c>
    </row>
    <row r="21" spans="1:80" customHeight="1" ht="15.75">
      <c r="A21" s="30">
        <v>14</v>
      </c>
      <c r="B21" s="61" t="s">
        <v>44</v>
      </c>
      <c r="C21" s="31">
        <f>IF(BI21="","",BI21)</f>
        <v>89</v>
      </c>
      <c r="D21" s="32" t="str">
        <f>IF(BJ21="","",BJ21)</f>
        <v/>
      </c>
      <c r="E21" s="33" t="str">
        <f>IF(BK21="","",BK21)</f>
        <v/>
      </c>
      <c r="F21" s="34">
        <f>IF(BL21="","",BL21)</f>
        <v>89</v>
      </c>
      <c r="G21" s="31">
        <v>91</v>
      </c>
      <c r="H21" s="32"/>
      <c r="I21" s="33"/>
      <c r="J21" s="34">
        <f>IF(SUM(G21:I21)=0,"",ROUND(AVERAGE(G21:I21),0))</f>
        <v>91</v>
      </c>
      <c r="K21" s="35">
        <v>94</v>
      </c>
      <c r="L21" s="32"/>
      <c r="M21" s="33"/>
      <c r="N21" s="33">
        <f>IF(SUM(K21:M21)=0,"",ROUND(AVERAGE(K21:M21),0))</f>
        <v>94</v>
      </c>
      <c r="O21" s="31">
        <v>94</v>
      </c>
      <c r="P21" s="32"/>
      <c r="Q21" s="33"/>
      <c r="R21" s="34">
        <f>IF(SUM(O21:Q21)=0,"",ROUND(AVERAGE(O21:Q21),0))</f>
        <v>94</v>
      </c>
      <c r="S21" s="31">
        <v>87</v>
      </c>
      <c r="T21" s="32"/>
      <c r="U21" s="33"/>
      <c r="V21" s="34">
        <f>IF(SUM(S21:U21)=0,"",ROUND(AVERAGE(S21:U21),0))</f>
        <v>87</v>
      </c>
      <c r="W21" s="35">
        <v>88</v>
      </c>
      <c r="X21" s="32"/>
      <c r="Y21" s="33"/>
      <c r="Z21" s="33">
        <f>IF(SUM(W21:Y21)=0,"",ROUND(AVERAGE(W21:Y21),0))</f>
        <v>88</v>
      </c>
      <c r="AA21" s="31">
        <v>98</v>
      </c>
      <c r="AB21" s="32"/>
      <c r="AC21" s="33"/>
      <c r="AD21" s="34">
        <f>IF(SUM(AA21:AC21)=0,"",ROUND(AVERAGE(AA21:AC21),0))</f>
        <v>98</v>
      </c>
      <c r="AE21" s="31">
        <f>IF(BU21="","",BU21)</f>
        <v>91</v>
      </c>
      <c r="AF21" s="32" t="str">
        <f>IF(BV21="","",BV21)</f>
        <v/>
      </c>
      <c r="AG21" s="33" t="str">
        <f>IF(BW21="","",BW21)</f>
        <v/>
      </c>
      <c r="AH21" s="34">
        <f>IF(BX21="","",BX21)</f>
        <v>91</v>
      </c>
      <c r="AI21" s="31">
        <v>99</v>
      </c>
      <c r="AJ21" s="32"/>
      <c r="AK21" s="33"/>
      <c r="AL21" s="34">
        <f>IF(SUM(AI21:AK21)=0,"",ROUND(AVERAGE(AI21:AK21),0))</f>
        <v>99</v>
      </c>
      <c r="AM21" s="36">
        <v>92.0</v>
      </c>
      <c r="AN21" s="37"/>
      <c r="AO21" s="38"/>
      <c r="AP21" s="39">
        <f>IF(SUM(F21,J21,N21,R21,V21,Z21,AD21,AH21,AL21)=0,"",ROUND(AVERAGE(F21,J21,N21,R21,V21,Z21,AD21,AH21,AL21),2))</f>
        <v>92.33</v>
      </c>
      <c r="AQ21" s="30">
        <v>14</v>
      </c>
      <c r="AR21" s="61" t="str">
        <f>IF(B21="","",B21)</f>
        <v>SANDOVAL ESCOBAR JOAQUIN</v>
      </c>
      <c r="AS21" s="40">
        <v>91</v>
      </c>
      <c r="AT21" s="41"/>
      <c r="AU21" s="42"/>
      <c r="AV21" s="43">
        <f>IF(SUM(AS21:AU21)=0,"",ROUND(AVERAGE(AS21:AU21),0))</f>
        <v>91</v>
      </c>
      <c r="AW21" s="44">
        <v>85</v>
      </c>
      <c r="AX21" s="41"/>
      <c r="AY21" s="42"/>
      <c r="AZ21" s="42">
        <f>IF(SUM(AW21:AY21)=0,"",ROUND(AVERAGE(AW21:AY21),0))</f>
        <v>85</v>
      </c>
      <c r="BA21" s="40">
        <v>87</v>
      </c>
      <c r="BB21" s="41"/>
      <c r="BC21" s="42"/>
      <c r="BD21" s="43">
        <f>IF(SUM(BA21:BC21)=0,"",ROUND(AVERAGE(BA21:BC21),0))</f>
        <v>87</v>
      </c>
      <c r="BE21" s="40">
        <v>86.0</v>
      </c>
      <c r="BF21" s="41"/>
      <c r="BG21" s="42"/>
      <c r="BH21" s="43">
        <f>IF(SUM(BE21:BG21)=0,"",ROUND(AVERAGE(BE21:BG21),0))</f>
        <v>86</v>
      </c>
      <c r="BI21" s="31">
        <v>89.0</v>
      </c>
      <c r="BJ21" s="32"/>
      <c r="BK21" s="33"/>
      <c r="BL21" s="34">
        <f>IF(SUM(BI21:BK21)=0,"",ROUND(AVERAGE(BI21:BK21),0))</f>
        <v>89</v>
      </c>
      <c r="BM21" s="44">
        <v>91</v>
      </c>
      <c r="BN21" s="41"/>
      <c r="BO21" s="42"/>
      <c r="BP21" s="42">
        <f>IF(SUM(BM21:BO21)=0,"",ROUND(AVERAGE(BM21:BO21),0))</f>
        <v>91</v>
      </c>
      <c r="BQ21" s="40">
        <v>90</v>
      </c>
      <c r="BR21" s="41"/>
      <c r="BS21" s="42"/>
      <c r="BT21" s="43">
        <f>IF(SUM(BQ21:BS21)=0,"",ROUND(AVERAGE(BQ21:BS21),0))</f>
        <v>90</v>
      </c>
      <c r="BU21" s="31">
        <v>91.0</v>
      </c>
      <c r="BV21" s="32"/>
      <c r="BW21" s="33"/>
      <c r="BX21" s="34">
        <f>IF(SUM(BU21:BW21)=0,"",ROUND(AVERAGE(BU21:BW21),0))</f>
        <v>91</v>
      </c>
    </row>
    <row r="22" spans="1:80" customHeight="1" ht="15.75">
      <c r="A22" s="30">
        <v>15</v>
      </c>
      <c r="B22" s="61" t="s">
        <v>45</v>
      </c>
      <c r="C22" s="31">
        <f>IF(BI22="","",BI22)</f>
        <v>94</v>
      </c>
      <c r="D22" s="32" t="str">
        <f>IF(BJ22="","",BJ22)</f>
        <v/>
      </c>
      <c r="E22" s="33" t="str">
        <f>IF(BK22="","",BK22)</f>
        <v/>
      </c>
      <c r="F22" s="34">
        <f>IF(BL22="","",BL22)</f>
        <v>94</v>
      </c>
      <c r="G22" s="31">
        <v>93</v>
      </c>
      <c r="H22" s="32"/>
      <c r="I22" s="33"/>
      <c r="J22" s="34">
        <f>IF(SUM(G22:I22)=0,"",ROUND(AVERAGE(G22:I22),0))</f>
        <v>93</v>
      </c>
      <c r="K22" s="35">
        <v>91</v>
      </c>
      <c r="L22" s="32"/>
      <c r="M22" s="33"/>
      <c r="N22" s="33">
        <f>IF(SUM(K22:M22)=0,"",ROUND(AVERAGE(K22:M22),0))</f>
        <v>91</v>
      </c>
      <c r="O22" s="31">
        <v>90</v>
      </c>
      <c r="P22" s="32"/>
      <c r="Q22" s="33"/>
      <c r="R22" s="34">
        <f>IF(SUM(O22:Q22)=0,"",ROUND(AVERAGE(O22:Q22),0))</f>
        <v>90</v>
      </c>
      <c r="S22" s="31">
        <v>91</v>
      </c>
      <c r="T22" s="32"/>
      <c r="U22" s="33"/>
      <c r="V22" s="34">
        <f>IF(SUM(S22:U22)=0,"",ROUND(AVERAGE(S22:U22),0))</f>
        <v>91</v>
      </c>
      <c r="W22" s="35">
        <v>93</v>
      </c>
      <c r="X22" s="32"/>
      <c r="Y22" s="33"/>
      <c r="Z22" s="33">
        <f>IF(SUM(W22:Y22)=0,"",ROUND(AVERAGE(W22:Y22),0))</f>
        <v>93</v>
      </c>
      <c r="AA22" s="31">
        <v>98</v>
      </c>
      <c r="AB22" s="32"/>
      <c r="AC22" s="33"/>
      <c r="AD22" s="34">
        <f>IF(SUM(AA22:AC22)=0,"",ROUND(AVERAGE(AA22:AC22),0))</f>
        <v>98</v>
      </c>
      <c r="AE22" s="31">
        <f>IF(BU22="","",BU22)</f>
        <v>91</v>
      </c>
      <c r="AF22" s="32" t="str">
        <f>IF(BV22="","",BV22)</f>
        <v/>
      </c>
      <c r="AG22" s="33" t="str">
        <f>IF(BW22="","",BW22)</f>
        <v/>
      </c>
      <c r="AH22" s="34">
        <f>IF(BX22="","",BX22)</f>
        <v>91</v>
      </c>
      <c r="AI22" s="31">
        <v>99</v>
      </c>
      <c r="AJ22" s="32"/>
      <c r="AK22" s="33"/>
      <c r="AL22" s="34">
        <f>IF(SUM(AI22:AK22)=0,"",ROUND(AVERAGE(AI22:AK22),0))</f>
        <v>99</v>
      </c>
      <c r="AM22" s="36">
        <v>93.0</v>
      </c>
      <c r="AN22" s="37"/>
      <c r="AO22" s="38"/>
      <c r="AP22" s="39">
        <f>IF(SUM(F22,J22,N22,R22,V22,Z22,AD22,AH22,AL22)=0,"",ROUND(AVERAGE(F22,J22,N22,R22,V22,Z22,AD22,AH22,AL22),2))</f>
        <v>93.33</v>
      </c>
      <c r="AQ22" s="30">
        <v>15</v>
      </c>
      <c r="AR22" s="61" t="str">
        <f>IF(B22="","",B22)</f>
        <v>SUAREZ CAYUBA SERGIO ANDRE</v>
      </c>
      <c r="AS22" s="40">
        <v>93</v>
      </c>
      <c r="AT22" s="41"/>
      <c r="AU22" s="42"/>
      <c r="AV22" s="43">
        <f>IF(SUM(AS22:AU22)=0,"",ROUND(AVERAGE(AS22:AU22),0))</f>
        <v>93</v>
      </c>
      <c r="AW22" s="44">
        <v>97</v>
      </c>
      <c r="AX22" s="41"/>
      <c r="AY22" s="42"/>
      <c r="AZ22" s="42">
        <f>IF(SUM(AW22:AY22)=0,"",ROUND(AVERAGE(AW22:AY22),0))</f>
        <v>97</v>
      </c>
      <c r="BA22" s="40">
        <v>93</v>
      </c>
      <c r="BB22" s="41"/>
      <c r="BC22" s="42"/>
      <c r="BD22" s="43">
        <f>IF(SUM(BA22:BC22)=0,"",ROUND(AVERAGE(BA22:BC22),0))</f>
        <v>93</v>
      </c>
      <c r="BE22" s="40">
        <v>95.0</v>
      </c>
      <c r="BF22" s="41"/>
      <c r="BG22" s="42"/>
      <c r="BH22" s="43">
        <f>IF(SUM(BE22:BG22)=0,"",ROUND(AVERAGE(BE22:BG22),0))</f>
        <v>95</v>
      </c>
      <c r="BI22" s="31">
        <v>94.0</v>
      </c>
      <c r="BJ22" s="32"/>
      <c r="BK22" s="33"/>
      <c r="BL22" s="34">
        <f>IF(SUM(BI22:BK22)=0,"",ROUND(AVERAGE(BI22:BK22),0))</f>
        <v>94</v>
      </c>
      <c r="BM22" s="44">
        <v>88</v>
      </c>
      <c r="BN22" s="41"/>
      <c r="BO22" s="42"/>
      <c r="BP22" s="42">
        <f>IF(SUM(BM22:BO22)=0,"",ROUND(AVERAGE(BM22:BO22),0))</f>
        <v>88</v>
      </c>
      <c r="BQ22" s="40">
        <v>94</v>
      </c>
      <c r="BR22" s="41"/>
      <c r="BS22" s="42"/>
      <c r="BT22" s="43">
        <f>IF(SUM(BQ22:BS22)=0,"",ROUND(AVERAGE(BQ22:BS22),0))</f>
        <v>94</v>
      </c>
      <c r="BU22" s="31">
        <v>91.0</v>
      </c>
      <c r="BV22" s="32"/>
      <c r="BW22" s="33"/>
      <c r="BX22" s="34">
        <f>IF(SUM(BU22:BW22)=0,"",ROUND(AVERAGE(BU22:BW22),0))</f>
        <v>91</v>
      </c>
    </row>
    <row r="23" spans="1:80" customHeight="1" ht="15.75">
      <c r="A23" s="30">
        <v>16</v>
      </c>
      <c r="B23" s="61" t="s">
        <v>46</v>
      </c>
      <c r="C23" s="31">
        <f>IF(BI23="","",BI23)</f>
        <v>91</v>
      </c>
      <c r="D23" s="32" t="str">
        <f>IF(BJ23="","",BJ23)</f>
        <v/>
      </c>
      <c r="E23" s="33" t="str">
        <f>IF(BK23="","",BK23)</f>
        <v/>
      </c>
      <c r="F23" s="34">
        <f>IF(BL23="","",BL23)</f>
        <v>91</v>
      </c>
      <c r="G23" s="31">
        <v>93</v>
      </c>
      <c r="H23" s="32"/>
      <c r="I23" s="33"/>
      <c r="J23" s="34">
        <f>IF(SUM(G23:I23)=0,"",ROUND(AVERAGE(G23:I23),0))</f>
        <v>93</v>
      </c>
      <c r="K23" s="35">
        <v>91</v>
      </c>
      <c r="L23" s="32"/>
      <c r="M23" s="33"/>
      <c r="N23" s="33">
        <f>IF(SUM(K23:M23)=0,"",ROUND(AVERAGE(K23:M23),0))</f>
        <v>91</v>
      </c>
      <c r="O23" s="31">
        <v>94</v>
      </c>
      <c r="P23" s="32"/>
      <c r="Q23" s="33"/>
      <c r="R23" s="34">
        <f>IF(SUM(O23:Q23)=0,"",ROUND(AVERAGE(O23:Q23),0))</f>
        <v>94</v>
      </c>
      <c r="S23" s="31">
        <v>89</v>
      </c>
      <c r="T23" s="32"/>
      <c r="U23" s="33"/>
      <c r="V23" s="34">
        <f>IF(SUM(S23:U23)=0,"",ROUND(AVERAGE(S23:U23),0))</f>
        <v>89</v>
      </c>
      <c r="W23" s="35">
        <v>86</v>
      </c>
      <c r="X23" s="32"/>
      <c r="Y23" s="33"/>
      <c r="Z23" s="33">
        <f>IF(SUM(W23:Y23)=0,"",ROUND(AVERAGE(W23:Y23),0))</f>
        <v>86</v>
      </c>
      <c r="AA23" s="31">
        <v>93</v>
      </c>
      <c r="AB23" s="32"/>
      <c r="AC23" s="33"/>
      <c r="AD23" s="34">
        <f>IF(SUM(AA23:AC23)=0,"",ROUND(AVERAGE(AA23:AC23),0))</f>
        <v>93</v>
      </c>
      <c r="AE23" s="31">
        <f>IF(BU23="","",BU23)</f>
        <v>89</v>
      </c>
      <c r="AF23" s="32" t="str">
        <f>IF(BV23="","",BV23)</f>
        <v/>
      </c>
      <c r="AG23" s="33" t="str">
        <f>IF(BW23="","",BW23)</f>
        <v/>
      </c>
      <c r="AH23" s="34">
        <f>IF(BX23="","",BX23)</f>
        <v>89</v>
      </c>
      <c r="AI23" s="31">
        <v>98</v>
      </c>
      <c r="AJ23" s="32"/>
      <c r="AK23" s="33"/>
      <c r="AL23" s="34">
        <f>IF(SUM(AI23:AK23)=0,"",ROUND(AVERAGE(AI23:AK23),0))</f>
        <v>98</v>
      </c>
      <c r="AM23" s="36">
        <v>92.0</v>
      </c>
      <c r="AN23" s="37"/>
      <c r="AO23" s="38"/>
      <c r="AP23" s="39">
        <f>IF(SUM(F23,J23,N23,R23,V23,Z23,AD23,AH23,AL23)=0,"",ROUND(AVERAGE(F23,J23,N23,R23,V23,Z23,AD23,AH23,AL23),2))</f>
        <v>91.56</v>
      </c>
      <c r="AQ23" s="30">
        <v>16</v>
      </c>
      <c r="AR23" s="61" t="str">
        <f>IF(B23="","",B23)</f>
        <v>TAPIA PASSOS MADELEINE ELLE</v>
      </c>
      <c r="AS23" s="40">
        <v>94</v>
      </c>
      <c r="AT23" s="41"/>
      <c r="AU23" s="42"/>
      <c r="AV23" s="43">
        <f>IF(SUM(AS23:AU23)=0,"",ROUND(AVERAGE(AS23:AU23),0))</f>
        <v>94</v>
      </c>
      <c r="AW23" s="44">
        <v>93</v>
      </c>
      <c r="AX23" s="41"/>
      <c r="AY23" s="42"/>
      <c r="AZ23" s="42">
        <f>IF(SUM(AW23:AY23)=0,"",ROUND(AVERAGE(AW23:AY23),0))</f>
        <v>93</v>
      </c>
      <c r="BA23" s="40">
        <v>81</v>
      </c>
      <c r="BB23" s="41"/>
      <c r="BC23" s="42"/>
      <c r="BD23" s="43">
        <f>IF(SUM(BA23:BC23)=0,"",ROUND(AVERAGE(BA23:BC23),0))</f>
        <v>81</v>
      </c>
      <c r="BE23" s="40">
        <v>87.0</v>
      </c>
      <c r="BF23" s="41"/>
      <c r="BG23" s="42"/>
      <c r="BH23" s="43">
        <f>IF(SUM(BE23:BG23)=0,"",ROUND(AVERAGE(BE23:BG23),0))</f>
        <v>87</v>
      </c>
      <c r="BI23" s="31">
        <v>91.0</v>
      </c>
      <c r="BJ23" s="32"/>
      <c r="BK23" s="33"/>
      <c r="BL23" s="34">
        <f>IF(SUM(BI23:BK23)=0,"",ROUND(AVERAGE(BI23:BK23),0))</f>
        <v>91</v>
      </c>
      <c r="BM23" s="44">
        <v>87</v>
      </c>
      <c r="BN23" s="41"/>
      <c r="BO23" s="42"/>
      <c r="BP23" s="42">
        <f>IF(SUM(BM23:BO23)=0,"",ROUND(AVERAGE(BM23:BO23),0))</f>
        <v>87</v>
      </c>
      <c r="BQ23" s="40">
        <v>91</v>
      </c>
      <c r="BR23" s="41"/>
      <c r="BS23" s="42"/>
      <c r="BT23" s="43">
        <f>IF(SUM(BQ23:BS23)=0,"",ROUND(AVERAGE(BQ23:BS23),0))</f>
        <v>91</v>
      </c>
      <c r="BU23" s="31">
        <v>89.0</v>
      </c>
      <c r="BV23" s="32"/>
      <c r="BW23" s="33"/>
      <c r="BX23" s="34">
        <f>IF(SUM(BU23:BW23)=0,"",ROUND(AVERAGE(BU23:BW23),0))</f>
        <v>89</v>
      </c>
    </row>
    <row r="24" spans="1:80" customHeight="1" ht="15.75">
      <c r="A24" s="30">
        <v>17</v>
      </c>
      <c r="B24" s="61" t="s">
        <v>47</v>
      </c>
      <c r="C24" s="31">
        <f>IF(BI24="","",BI24)</f>
        <v>91</v>
      </c>
      <c r="D24" s="32" t="str">
        <f>IF(BJ24="","",BJ24)</f>
        <v/>
      </c>
      <c r="E24" s="33" t="str">
        <f>IF(BK24="","",BK24)</f>
        <v/>
      </c>
      <c r="F24" s="34">
        <f>IF(BL24="","",BL24)</f>
        <v>91</v>
      </c>
      <c r="G24" s="31">
        <v>95</v>
      </c>
      <c r="H24" s="32"/>
      <c r="I24" s="33"/>
      <c r="J24" s="34">
        <f>IF(SUM(G24:I24)=0,"",ROUND(AVERAGE(G24:I24),0))</f>
        <v>95</v>
      </c>
      <c r="K24" s="35">
        <v>92</v>
      </c>
      <c r="L24" s="32"/>
      <c r="M24" s="33"/>
      <c r="N24" s="33">
        <f>IF(SUM(K24:M24)=0,"",ROUND(AVERAGE(K24:M24),0))</f>
        <v>92</v>
      </c>
      <c r="O24" s="31">
        <v>94</v>
      </c>
      <c r="P24" s="32"/>
      <c r="Q24" s="33"/>
      <c r="R24" s="34">
        <f>IF(SUM(O24:Q24)=0,"",ROUND(AVERAGE(O24:Q24),0))</f>
        <v>94</v>
      </c>
      <c r="S24" s="31">
        <v>86</v>
      </c>
      <c r="T24" s="32"/>
      <c r="U24" s="33"/>
      <c r="V24" s="34">
        <f>IF(SUM(S24:U24)=0,"",ROUND(AVERAGE(S24:U24),0))</f>
        <v>86</v>
      </c>
      <c r="W24" s="35">
        <v>91</v>
      </c>
      <c r="X24" s="32"/>
      <c r="Y24" s="33"/>
      <c r="Z24" s="33">
        <f>IF(SUM(W24:Y24)=0,"",ROUND(AVERAGE(W24:Y24),0))</f>
        <v>91</v>
      </c>
      <c r="AA24" s="31">
        <v>98</v>
      </c>
      <c r="AB24" s="32"/>
      <c r="AC24" s="33"/>
      <c r="AD24" s="34">
        <f>IF(SUM(AA24:AC24)=0,"",ROUND(AVERAGE(AA24:AC24),0))</f>
        <v>98</v>
      </c>
      <c r="AE24" s="31">
        <f>IF(BU24="","",BU24)</f>
        <v>93</v>
      </c>
      <c r="AF24" s="32" t="str">
        <f>IF(BV24="","",BV24)</f>
        <v/>
      </c>
      <c r="AG24" s="33" t="str">
        <f>IF(BW24="","",BW24)</f>
        <v/>
      </c>
      <c r="AH24" s="34">
        <f>IF(BX24="","",BX24)</f>
        <v>93</v>
      </c>
      <c r="AI24" s="31">
        <v>99</v>
      </c>
      <c r="AJ24" s="32"/>
      <c r="AK24" s="33"/>
      <c r="AL24" s="34">
        <f>IF(SUM(AI24:AK24)=0,"",ROUND(AVERAGE(AI24:AK24),0))</f>
        <v>99</v>
      </c>
      <c r="AM24" s="36">
        <v>93.0</v>
      </c>
      <c r="AN24" s="37"/>
      <c r="AO24" s="38"/>
      <c r="AP24" s="39">
        <f>IF(SUM(F24,J24,N24,R24,V24,Z24,AD24,AH24,AL24)=0,"",ROUND(AVERAGE(F24,J24,N24,R24,V24,Z24,AD24,AH24,AL24),2))</f>
        <v>93.22</v>
      </c>
      <c r="AQ24" s="30">
        <v>17</v>
      </c>
      <c r="AR24" s="61" t="str">
        <f>IF(B24="","",B24)</f>
        <v>TORRES TORREZ EMA</v>
      </c>
      <c r="AS24" s="40">
        <v>95</v>
      </c>
      <c r="AT24" s="41"/>
      <c r="AU24" s="42"/>
      <c r="AV24" s="43">
        <f>IF(SUM(AS24:AU24)=0,"",ROUND(AVERAGE(AS24:AU24),0))</f>
        <v>95</v>
      </c>
      <c r="AW24" s="44">
        <v>92</v>
      </c>
      <c r="AX24" s="41"/>
      <c r="AY24" s="42"/>
      <c r="AZ24" s="42">
        <f>IF(SUM(AW24:AY24)=0,"",ROUND(AVERAGE(AW24:AY24),0))</f>
        <v>92</v>
      </c>
      <c r="BA24" s="40">
        <v>82</v>
      </c>
      <c r="BB24" s="41"/>
      <c r="BC24" s="42"/>
      <c r="BD24" s="43">
        <f>IF(SUM(BA24:BC24)=0,"",ROUND(AVERAGE(BA24:BC24),0))</f>
        <v>82</v>
      </c>
      <c r="BE24" s="40">
        <v>87.0</v>
      </c>
      <c r="BF24" s="41"/>
      <c r="BG24" s="42"/>
      <c r="BH24" s="43">
        <f>IF(SUM(BE24:BG24)=0,"",ROUND(AVERAGE(BE24:BG24),0))</f>
        <v>87</v>
      </c>
      <c r="BI24" s="31">
        <v>91.0</v>
      </c>
      <c r="BJ24" s="32"/>
      <c r="BK24" s="33"/>
      <c r="BL24" s="34">
        <f>IF(SUM(BI24:BK24)=0,"",ROUND(AVERAGE(BI24:BK24),0))</f>
        <v>91</v>
      </c>
      <c r="BM24" s="44">
        <v>92</v>
      </c>
      <c r="BN24" s="41"/>
      <c r="BO24" s="42"/>
      <c r="BP24" s="42">
        <f>IF(SUM(BM24:BO24)=0,"",ROUND(AVERAGE(BM24:BO24),0))</f>
        <v>92</v>
      </c>
      <c r="BQ24" s="40">
        <v>93</v>
      </c>
      <c r="BR24" s="41"/>
      <c r="BS24" s="42"/>
      <c r="BT24" s="43">
        <f>IF(SUM(BQ24:BS24)=0,"",ROUND(AVERAGE(BQ24:BS24),0))</f>
        <v>93</v>
      </c>
      <c r="BU24" s="31">
        <v>93.0</v>
      </c>
      <c r="BV24" s="32"/>
      <c r="BW24" s="33"/>
      <c r="BX24" s="34">
        <f>IF(SUM(BU24:BW24)=0,"",ROUND(AVERAGE(BU24:BW24),0))</f>
        <v>93</v>
      </c>
    </row>
    <row r="25" spans="1:80" customHeight="1" ht="15.75">
      <c r="A25" s="30">
        <v>18</v>
      </c>
      <c r="B25" s="61" t="s">
        <v>48</v>
      </c>
      <c r="C25" s="31">
        <f>IF(BI25="","",BI25)</f>
        <v>83</v>
      </c>
      <c r="D25" s="32" t="str">
        <f>IF(BJ25="","",BJ25)</f>
        <v/>
      </c>
      <c r="E25" s="33" t="str">
        <f>IF(BK25="","",BK25)</f>
        <v/>
      </c>
      <c r="F25" s="34">
        <f>IF(BL25="","",BL25)</f>
        <v>83</v>
      </c>
      <c r="G25" s="31">
        <v>92</v>
      </c>
      <c r="H25" s="32"/>
      <c r="I25" s="33"/>
      <c r="J25" s="34">
        <f>IF(SUM(G25:I25)=0,"",ROUND(AVERAGE(G25:I25),0))</f>
        <v>92</v>
      </c>
      <c r="K25" s="35">
        <v>96</v>
      </c>
      <c r="L25" s="32"/>
      <c r="M25" s="33"/>
      <c r="N25" s="33">
        <f>IF(SUM(K25:M25)=0,"",ROUND(AVERAGE(K25:M25),0))</f>
        <v>96</v>
      </c>
      <c r="O25" s="31">
        <v>88</v>
      </c>
      <c r="P25" s="32"/>
      <c r="Q25" s="33"/>
      <c r="R25" s="34">
        <f>IF(SUM(O25:Q25)=0,"",ROUND(AVERAGE(O25:Q25),0))</f>
        <v>88</v>
      </c>
      <c r="S25" s="31">
        <v>88</v>
      </c>
      <c r="T25" s="32"/>
      <c r="U25" s="33"/>
      <c r="V25" s="34">
        <f>IF(SUM(S25:U25)=0,"",ROUND(AVERAGE(S25:U25),0))</f>
        <v>88</v>
      </c>
      <c r="W25" s="35">
        <v>90</v>
      </c>
      <c r="X25" s="32"/>
      <c r="Y25" s="33"/>
      <c r="Z25" s="33">
        <f>IF(SUM(W25:Y25)=0,"",ROUND(AVERAGE(W25:Y25),0))</f>
        <v>90</v>
      </c>
      <c r="AA25" s="31">
        <v>92</v>
      </c>
      <c r="AB25" s="32"/>
      <c r="AC25" s="33"/>
      <c r="AD25" s="34">
        <f>IF(SUM(AA25:AC25)=0,"",ROUND(AVERAGE(AA25:AC25),0))</f>
        <v>92</v>
      </c>
      <c r="AE25" s="31">
        <f>IF(BU25="","",BU25)</f>
        <v>90</v>
      </c>
      <c r="AF25" s="32" t="str">
        <f>IF(BV25="","",BV25)</f>
        <v/>
      </c>
      <c r="AG25" s="33" t="str">
        <f>IF(BW25="","",BW25)</f>
        <v/>
      </c>
      <c r="AH25" s="34">
        <f>IF(BX25="","",BX25)</f>
        <v>90</v>
      </c>
      <c r="AI25" s="31">
        <v>99</v>
      </c>
      <c r="AJ25" s="32"/>
      <c r="AK25" s="33"/>
      <c r="AL25" s="34">
        <f>IF(SUM(AI25:AK25)=0,"",ROUND(AVERAGE(AI25:AK25),0))</f>
        <v>99</v>
      </c>
      <c r="AM25" s="36">
        <v>91.0</v>
      </c>
      <c r="AN25" s="37"/>
      <c r="AO25" s="38"/>
      <c r="AP25" s="39">
        <f>IF(SUM(F25,J25,N25,R25,V25,Z25,AD25,AH25,AL25)=0,"",ROUND(AVERAGE(F25,J25,N25,R25,V25,Z25,AD25,AH25,AL25),2))</f>
        <v>90.89</v>
      </c>
      <c r="AQ25" s="30">
        <v>18</v>
      </c>
      <c r="AR25" s="61" t="str">
        <f>IF(B25="","",B25)</f>
        <v>VALENZUELA SAAVEDRA MARTINA</v>
      </c>
      <c r="AS25" s="40">
        <v>83</v>
      </c>
      <c r="AT25" s="41"/>
      <c r="AU25" s="42"/>
      <c r="AV25" s="43">
        <f>IF(SUM(AS25:AU25)=0,"",ROUND(AVERAGE(AS25:AU25),0))</f>
        <v>83</v>
      </c>
      <c r="AW25" s="44">
        <v>86</v>
      </c>
      <c r="AX25" s="41"/>
      <c r="AY25" s="42"/>
      <c r="AZ25" s="42">
        <f>IF(SUM(AW25:AY25)=0,"",ROUND(AVERAGE(AW25:AY25),0))</f>
        <v>86</v>
      </c>
      <c r="BA25" s="40">
        <v>77</v>
      </c>
      <c r="BB25" s="41"/>
      <c r="BC25" s="42"/>
      <c r="BD25" s="43">
        <f>IF(SUM(BA25:BC25)=0,"",ROUND(AVERAGE(BA25:BC25),0))</f>
        <v>77</v>
      </c>
      <c r="BE25" s="40">
        <v>82.0</v>
      </c>
      <c r="BF25" s="41"/>
      <c r="BG25" s="42"/>
      <c r="BH25" s="43">
        <f>IF(SUM(BE25:BG25)=0,"",ROUND(AVERAGE(BE25:BG25),0))</f>
        <v>82</v>
      </c>
      <c r="BI25" s="31">
        <v>83.0</v>
      </c>
      <c r="BJ25" s="32"/>
      <c r="BK25" s="33"/>
      <c r="BL25" s="34">
        <f>IF(SUM(BI25:BK25)=0,"",ROUND(AVERAGE(BI25:BK25),0))</f>
        <v>83</v>
      </c>
      <c r="BM25" s="44">
        <v>91</v>
      </c>
      <c r="BN25" s="41"/>
      <c r="BO25" s="42"/>
      <c r="BP25" s="42">
        <f>IF(SUM(BM25:BO25)=0,"",ROUND(AVERAGE(BM25:BO25),0))</f>
        <v>91</v>
      </c>
      <c r="BQ25" s="40">
        <v>89</v>
      </c>
      <c r="BR25" s="41"/>
      <c r="BS25" s="42"/>
      <c r="BT25" s="43">
        <f>IF(SUM(BQ25:BS25)=0,"",ROUND(AVERAGE(BQ25:BS25),0))</f>
        <v>89</v>
      </c>
      <c r="BU25" s="31">
        <v>90.0</v>
      </c>
      <c r="BV25" s="32"/>
      <c r="BW25" s="33"/>
      <c r="BX25" s="34">
        <f>IF(SUM(BU25:BW25)=0,"",ROUND(AVERAGE(BU25:BW25),0))</f>
        <v>90</v>
      </c>
    </row>
    <row r="26" spans="1:80" customHeight="1" ht="15.75">
      <c r="A26" s="30">
        <v>19</v>
      </c>
      <c r="B26" s="61" t="s">
        <v>49</v>
      </c>
      <c r="C26" s="31">
        <f>IF(BI26="","",BI26)</f>
        <v>85</v>
      </c>
      <c r="D26" s="32" t="str">
        <f>IF(BJ26="","",BJ26)</f>
        <v/>
      </c>
      <c r="E26" s="33" t="str">
        <f>IF(BK26="","",BK26)</f>
        <v/>
      </c>
      <c r="F26" s="34">
        <f>IF(BL26="","",BL26)</f>
        <v>85</v>
      </c>
      <c r="G26" s="31">
        <v>90</v>
      </c>
      <c r="H26" s="32"/>
      <c r="I26" s="33"/>
      <c r="J26" s="34">
        <f>IF(SUM(G26:I26)=0,"",ROUND(AVERAGE(G26:I26),0))</f>
        <v>90</v>
      </c>
      <c r="K26" s="35">
        <v>93</v>
      </c>
      <c r="L26" s="32"/>
      <c r="M26" s="33"/>
      <c r="N26" s="33">
        <f>IF(SUM(K26:M26)=0,"",ROUND(AVERAGE(K26:M26),0))</f>
        <v>93</v>
      </c>
      <c r="O26" s="31">
        <v>89</v>
      </c>
      <c r="P26" s="32"/>
      <c r="Q26" s="33"/>
      <c r="R26" s="34">
        <f>IF(SUM(O26:Q26)=0,"",ROUND(AVERAGE(O26:Q26),0))</f>
        <v>89</v>
      </c>
      <c r="S26" s="31">
        <v>94</v>
      </c>
      <c r="T26" s="32"/>
      <c r="U26" s="33"/>
      <c r="V26" s="34">
        <f>IF(SUM(S26:U26)=0,"",ROUND(AVERAGE(S26:U26),0))</f>
        <v>94</v>
      </c>
      <c r="W26" s="35">
        <v>93</v>
      </c>
      <c r="X26" s="32"/>
      <c r="Y26" s="33"/>
      <c r="Z26" s="33">
        <f>IF(SUM(W26:Y26)=0,"",ROUND(AVERAGE(W26:Y26),0))</f>
        <v>93</v>
      </c>
      <c r="AA26" s="31">
        <v>96</v>
      </c>
      <c r="AB26" s="32"/>
      <c r="AC26" s="33"/>
      <c r="AD26" s="34">
        <f>IF(SUM(AA26:AC26)=0,"",ROUND(AVERAGE(AA26:AC26),0))</f>
        <v>96</v>
      </c>
      <c r="AE26" s="31">
        <f>IF(BU26="","",BU26)</f>
        <v>83</v>
      </c>
      <c r="AF26" s="32" t="str">
        <f>IF(BV26="","",BV26)</f>
        <v/>
      </c>
      <c r="AG26" s="33" t="str">
        <f>IF(BW26="","",BW26)</f>
        <v/>
      </c>
      <c r="AH26" s="34">
        <f>IF(BX26="","",BX26)</f>
        <v>83</v>
      </c>
      <c r="AI26" s="31">
        <v>98</v>
      </c>
      <c r="AJ26" s="32"/>
      <c r="AK26" s="33"/>
      <c r="AL26" s="34">
        <f>IF(SUM(AI26:AK26)=0,"",ROUND(AVERAGE(AI26:AK26),0))</f>
        <v>98</v>
      </c>
      <c r="AM26" s="36">
        <v>91.0</v>
      </c>
      <c r="AN26" s="37"/>
      <c r="AO26" s="38"/>
      <c r="AP26" s="39">
        <f>IF(SUM(F26,J26,N26,R26,V26,Z26,AD26,AH26,AL26)=0,"",ROUND(AVERAGE(F26,J26,N26,R26,V26,Z26,AD26,AH26,AL26),2))</f>
        <v>91.22</v>
      </c>
      <c r="AQ26" s="30">
        <v>19</v>
      </c>
      <c r="AR26" s="61" t="str">
        <f>IF(B26="","",B26)</f>
        <v>VARGAS TORO AGUSTINA</v>
      </c>
      <c r="AS26" s="40">
        <v>89</v>
      </c>
      <c r="AT26" s="41"/>
      <c r="AU26" s="42"/>
      <c r="AV26" s="43">
        <f>IF(SUM(AS26:AU26)=0,"",ROUND(AVERAGE(AS26:AU26),0))</f>
        <v>89</v>
      </c>
      <c r="AW26" s="44">
        <v>83</v>
      </c>
      <c r="AX26" s="41"/>
      <c r="AY26" s="42"/>
      <c r="AZ26" s="42">
        <f>IF(SUM(AW26:AY26)=0,"",ROUND(AVERAGE(AW26:AY26),0))</f>
        <v>83</v>
      </c>
      <c r="BA26" s="40">
        <v>79</v>
      </c>
      <c r="BB26" s="41"/>
      <c r="BC26" s="42"/>
      <c r="BD26" s="43">
        <f>IF(SUM(BA26:BC26)=0,"",ROUND(AVERAGE(BA26:BC26),0))</f>
        <v>79</v>
      </c>
      <c r="BE26" s="40">
        <v>81.0</v>
      </c>
      <c r="BF26" s="41"/>
      <c r="BG26" s="42"/>
      <c r="BH26" s="43">
        <f>IF(SUM(BE26:BG26)=0,"",ROUND(AVERAGE(BE26:BG26),0))</f>
        <v>81</v>
      </c>
      <c r="BI26" s="31">
        <v>85.0</v>
      </c>
      <c r="BJ26" s="32"/>
      <c r="BK26" s="33"/>
      <c r="BL26" s="34">
        <f>IF(SUM(BI26:BK26)=0,"",ROUND(AVERAGE(BI26:BK26),0))</f>
        <v>85</v>
      </c>
      <c r="BM26" s="44">
        <v>80</v>
      </c>
      <c r="BN26" s="41"/>
      <c r="BO26" s="42"/>
      <c r="BP26" s="42">
        <f>IF(SUM(BM26:BO26)=0,"",ROUND(AVERAGE(BM26:BO26),0))</f>
        <v>80</v>
      </c>
      <c r="BQ26" s="40">
        <v>85</v>
      </c>
      <c r="BR26" s="41"/>
      <c r="BS26" s="42"/>
      <c r="BT26" s="43">
        <f>IF(SUM(BQ26:BS26)=0,"",ROUND(AVERAGE(BQ26:BS26),0))</f>
        <v>85</v>
      </c>
      <c r="BU26" s="31">
        <v>83.0</v>
      </c>
      <c r="BV26" s="32"/>
      <c r="BW26" s="33"/>
      <c r="BX26" s="34">
        <f>IF(SUM(BU26:BW26)=0,"",ROUND(AVERAGE(BU26:BW26),0))</f>
        <v>83</v>
      </c>
    </row>
    <row r="27" spans="1:80" customHeight="1" ht="15.75">
      <c r="A27" s="30">
        <v>20</v>
      </c>
      <c r="B27" s="61" t="s">
        <v>50</v>
      </c>
      <c r="C27" s="31">
        <f>IF(BI27="","",BI27)</f>
        <v>92</v>
      </c>
      <c r="D27" s="32" t="str">
        <f>IF(BJ27="","",BJ27)</f>
        <v/>
      </c>
      <c r="E27" s="33" t="str">
        <f>IF(BK27="","",BK27)</f>
        <v/>
      </c>
      <c r="F27" s="34">
        <f>IF(BL27="","",BL27)</f>
        <v>92</v>
      </c>
      <c r="G27" s="31">
        <v>92</v>
      </c>
      <c r="H27" s="32"/>
      <c r="I27" s="33"/>
      <c r="J27" s="34">
        <f>IF(SUM(G27:I27)=0,"",ROUND(AVERAGE(G27:I27),0))</f>
        <v>92</v>
      </c>
      <c r="K27" s="35">
        <v>98</v>
      </c>
      <c r="L27" s="32"/>
      <c r="M27" s="33"/>
      <c r="N27" s="33">
        <f>IF(SUM(K27:M27)=0,"",ROUND(AVERAGE(K27:M27),0))</f>
        <v>98</v>
      </c>
      <c r="O27" s="31">
        <v>98</v>
      </c>
      <c r="P27" s="32"/>
      <c r="Q27" s="33"/>
      <c r="R27" s="34">
        <f>IF(SUM(O27:Q27)=0,"",ROUND(AVERAGE(O27:Q27),0))</f>
        <v>98</v>
      </c>
      <c r="S27" s="31">
        <v>88</v>
      </c>
      <c r="T27" s="32"/>
      <c r="U27" s="33"/>
      <c r="V27" s="34">
        <f>IF(SUM(S27:U27)=0,"",ROUND(AVERAGE(S27:U27),0))</f>
        <v>88</v>
      </c>
      <c r="W27" s="35">
        <v>92</v>
      </c>
      <c r="X27" s="32"/>
      <c r="Y27" s="33"/>
      <c r="Z27" s="33">
        <f>IF(SUM(W27:Y27)=0,"",ROUND(AVERAGE(W27:Y27),0))</f>
        <v>92</v>
      </c>
      <c r="AA27" s="31">
        <v>99</v>
      </c>
      <c r="AB27" s="32"/>
      <c r="AC27" s="33"/>
      <c r="AD27" s="34">
        <f>IF(SUM(AA27:AC27)=0,"",ROUND(AVERAGE(AA27:AC27),0))</f>
        <v>99</v>
      </c>
      <c r="AE27" s="31">
        <f>IF(BU27="","",BU27)</f>
        <v>86</v>
      </c>
      <c r="AF27" s="32" t="str">
        <f>IF(BV27="","",BV27)</f>
        <v/>
      </c>
      <c r="AG27" s="33" t="str">
        <f>IF(BW27="","",BW27)</f>
        <v/>
      </c>
      <c r="AH27" s="34">
        <f>IF(BX27="","",BX27)</f>
        <v>86</v>
      </c>
      <c r="AI27" s="31">
        <v>99</v>
      </c>
      <c r="AJ27" s="32"/>
      <c r="AK27" s="33"/>
      <c r="AL27" s="34">
        <f>IF(SUM(AI27:AK27)=0,"",ROUND(AVERAGE(AI27:AK27),0))</f>
        <v>99</v>
      </c>
      <c r="AM27" s="36">
        <v>94.0</v>
      </c>
      <c r="AN27" s="37"/>
      <c r="AO27" s="38"/>
      <c r="AP27" s="39">
        <f>IF(SUM(F27,J27,N27,R27,V27,Z27,AD27,AH27,AL27)=0,"",ROUND(AVERAGE(F27,J27,N27,R27,V27,Z27,AD27,AH27,AL27),2))</f>
        <v>93.78</v>
      </c>
      <c r="AQ27" s="30">
        <v>20</v>
      </c>
      <c r="AR27" s="61" t="str">
        <f>IF(B27="","",B27)</f>
        <v>VILLARROEL POLO IGNACIO ANDRES</v>
      </c>
      <c r="AS27" s="40">
        <v>94</v>
      </c>
      <c r="AT27" s="41"/>
      <c r="AU27" s="42"/>
      <c r="AV27" s="43">
        <f>IF(SUM(AS27:AU27)=0,"",ROUND(AVERAGE(AS27:AU27),0))</f>
        <v>94</v>
      </c>
      <c r="AW27" s="44">
        <v>89</v>
      </c>
      <c r="AX27" s="41"/>
      <c r="AY27" s="42"/>
      <c r="AZ27" s="42">
        <f>IF(SUM(AW27:AY27)=0,"",ROUND(AVERAGE(AW27:AY27),0))</f>
        <v>89</v>
      </c>
      <c r="BA27" s="40">
        <v>91</v>
      </c>
      <c r="BB27" s="41"/>
      <c r="BC27" s="42"/>
      <c r="BD27" s="43">
        <f>IF(SUM(BA27:BC27)=0,"",ROUND(AVERAGE(BA27:BC27),0))</f>
        <v>91</v>
      </c>
      <c r="BE27" s="40">
        <v>90.0</v>
      </c>
      <c r="BF27" s="41"/>
      <c r="BG27" s="42"/>
      <c r="BH27" s="43">
        <f>IF(SUM(BE27:BG27)=0,"",ROUND(AVERAGE(BE27:BG27),0))</f>
        <v>90</v>
      </c>
      <c r="BI27" s="31">
        <v>92.0</v>
      </c>
      <c r="BJ27" s="32"/>
      <c r="BK27" s="33"/>
      <c r="BL27" s="34">
        <f>IF(SUM(BI27:BK27)=0,"",ROUND(AVERAGE(BI27:BK27),0))</f>
        <v>92</v>
      </c>
      <c r="BM27" s="44">
        <v>81</v>
      </c>
      <c r="BN27" s="41"/>
      <c r="BO27" s="42"/>
      <c r="BP27" s="42">
        <f>IF(SUM(BM27:BO27)=0,"",ROUND(AVERAGE(BM27:BO27),0))</f>
        <v>81</v>
      </c>
      <c r="BQ27" s="40">
        <v>91</v>
      </c>
      <c r="BR27" s="41"/>
      <c r="BS27" s="42"/>
      <c r="BT27" s="43">
        <f>IF(SUM(BQ27:BS27)=0,"",ROUND(AVERAGE(BQ27:BS27),0))</f>
        <v>91</v>
      </c>
      <c r="BU27" s="31">
        <v>86.0</v>
      </c>
      <c r="BV27" s="32"/>
      <c r="BW27" s="33"/>
      <c r="BX27" s="34">
        <f>IF(SUM(BU27:BW27)=0,"",ROUND(AVERAGE(BU27:BW27),0))</f>
        <v>86</v>
      </c>
    </row>
    <row r="28" spans="1:80" customHeight="1" ht="15.75">
      <c r="A28" s="30">
        <v>21</v>
      </c>
      <c r="B28" s="61" t="s">
        <v>51</v>
      </c>
      <c r="C28" s="31">
        <f>IF(BI28="","",BI28)</f>
        <v>79</v>
      </c>
      <c r="D28" s="32" t="str">
        <f>IF(BJ28="","",BJ28)</f>
        <v/>
      </c>
      <c r="E28" s="33" t="str">
        <f>IF(BK28="","",BK28)</f>
        <v/>
      </c>
      <c r="F28" s="34">
        <f>IF(BL28="","",BL28)</f>
        <v>79</v>
      </c>
      <c r="G28" s="31">
        <v>88</v>
      </c>
      <c r="H28" s="32"/>
      <c r="I28" s="33"/>
      <c r="J28" s="34">
        <f>IF(SUM(G28:I28)=0,"",ROUND(AVERAGE(G28:I28),0))</f>
        <v>88</v>
      </c>
      <c r="K28" s="35">
        <v>92</v>
      </c>
      <c r="L28" s="32"/>
      <c r="M28" s="33"/>
      <c r="N28" s="33">
        <f>IF(SUM(K28:M28)=0,"",ROUND(AVERAGE(K28:M28),0))</f>
        <v>92</v>
      </c>
      <c r="O28" s="31">
        <v>90</v>
      </c>
      <c r="P28" s="32"/>
      <c r="Q28" s="33"/>
      <c r="R28" s="34">
        <f>IF(SUM(O28:Q28)=0,"",ROUND(AVERAGE(O28:Q28),0))</f>
        <v>90</v>
      </c>
      <c r="S28" s="31">
        <v>79</v>
      </c>
      <c r="T28" s="32"/>
      <c r="U28" s="33"/>
      <c r="V28" s="34">
        <f>IF(SUM(S28:U28)=0,"",ROUND(AVERAGE(S28:U28),0))</f>
        <v>79</v>
      </c>
      <c r="W28" s="35">
        <v>91</v>
      </c>
      <c r="X28" s="32"/>
      <c r="Y28" s="33"/>
      <c r="Z28" s="33">
        <f>IF(SUM(W28:Y28)=0,"",ROUND(AVERAGE(W28:Y28),0))</f>
        <v>91</v>
      </c>
      <c r="AA28" s="31">
        <v>94</v>
      </c>
      <c r="AB28" s="32"/>
      <c r="AC28" s="33"/>
      <c r="AD28" s="34">
        <f>IF(SUM(AA28:AC28)=0,"",ROUND(AVERAGE(AA28:AC28),0))</f>
        <v>94</v>
      </c>
      <c r="AE28" s="31">
        <f>IF(BU28="","",BU28)</f>
        <v>74</v>
      </c>
      <c r="AF28" s="32" t="str">
        <f>IF(BV28="","",BV28)</f>
        <v/>
      </c>
      <c r="AG28" s="33" t="str">
        <f>IF(BW28="","",BW28)</f>
        <v/>
      </c>
      <c r="AH28" s="34">
        <f>IF(BX28="","",BX28)</f>
        <v>74</v>
      </c>
      <c r="AI28" s="31">
        <v>96</v>
      </c>
      <c r="AJ28" s="32"/>
      <c r="AK28" s="33"/>
      <c r="AL28" s="34">
        <f>IF(SUM(AI28:AK28)=0,"",ROUND(AVERAGE(AI28:AK28),0))</f>
        <v>96</v>
      </c>
      <c r="AM28" s="36">
        <v>87.0</v>
      </c>
      <c r="AN28" s="37"/>
      <c r="AO28" s="38"/>
      <c r="AP28" s="39">
        <f>IF(SUM(F28,J28,N28,R28,V28,Z28,AD28,AH28,AL28)=0,"",ROUND(AVERAGE(F28,J28,N28,R28,V28,Z28,AD28,AH28,AL28),2))</f>
        <v>87</v>
      </c>
      <c r="AQ28" s="30">
        <v>21</v>
      </c>
      <c r="AR28" s="61" t="str">
        <f>IF(B28="","",B28)</f>
        <v>VISCARRA QUIROGA LUCAS</v>
      </c>
      <c r="AS28" s="40">
        <v>80</v>
      </c>
      <c r="AT28" s="41"/>
      <c r="AU28" s="42"/>
      <c r="AV28" s="43">
        <f>IF(SUM(AS28:AU28)=0,"",ROUND(AVERAGE(AS28:AU28),0))</f>
        <v>80</v>
      </c>
      <c r="AW28" s="44">
        <v>83</v>
      </c>
      <c r="AX28" s="41"/>
      <c r="AY28" s="42"/>
      <c r="AZ28" s="42">
        <f>IF(SUM(AW28:AY28)=0,"",ROUND(AVERAGE(AW28:AY28),0))</f>
        <v>83</v>
      </c>
      <c r="BA28" s="40">
        <v>73</v>
      </c>
      <c r="BB28" s="41"/>
      <c r="BC28" s="42"/>
      <c r="BD28" s="43">
        <f>IF(SUM(BA28:BC28)=0,"",ROUND(AVERAGE(BA28:BC28),0))</f>
        <v>73</v>
      </c>
      <c r="BE28" s="40">
        <v>78.0</v>
      </c>
      <c r="BF28" s="41"/>
      <c r="BG28" s="42"/>
      <c r="BH28" s="43">
        <f>IF(SUM(BE28:BG28)=0,"",ROUND(AVERAGE(BE28:BG28),0))</f>
        <v>78</v>
      </c>
      <c r="BI28" s="31">
        <v>79.0</v>
      </c>
      <c r="BJ28" s="32"/>
      <c r="BK28" s="33"/>
      <c r="BL28" s="34">
        <f>IF(SUM(BI28:BK28)=0,"",ROUND(AVERAGE(BI28:BK28),0))</f>
        <v>79</v>
      </c>
      <c r="BM28" s="44">
        <v>62</v>
      </c>
      <c r="BN28" s="41"/>
      <c r="BO28" s="42"/>
      <c r="BP28" s="42">
        <f>IF(SUM(BM28:BO28)=0,"",ROUND(AVERAGE(BM28:BO28),0))</f>
        <v>62</v>
      </c>
      <c r="BQ28" s="40">
        <v>85</v>
      </c>
      <c r="BR28" s="41"/>
      <c r="BS28" s="42"/>
      <c r="BT28" s="43">
        <f>IF(SUM(BQ28:BS28)=0,"",ROUND(AVERAGE(BQ28:BS28),0))</f>
        <v>85</v>
      </c>
      <c r="BU28" s="31">
        <v>74.0</v>
      </c>
      <c r="BV28" s="32"/>
      <c r="BW28" s="33"/>
      <c r="BX28" s="34">
        <f>IF(SUM(BU28:BW28)=0,"",ROUND(AVERAGE(BU28:BW28),0))</f>
        <v>74</v>
      </c>
    </row>
    <row r="29" spans="1:80" customHeight="1" ht="15.75">
      <c r="A29" s="30">
        <v>22</v>
      </c>
      <c r="B29" s="61"/>
      <c r="C29" s="31" t="str">
        <f>IF(BI29="","",BI29)</f>
        <v/>
      </c>
      <c r="D29" s="32" t="str">
        <f>IF(BJ29="","",BJ29)</f>
        <v/>
      </c>
      <c r="E29" s="33" t="str">
        <f>IF(BK29="","",BK29)</f>
        <v/>
      </c>
      <c r="F29" s="34" t="str">
        <f>IF(BL29="","",BL29)</f>
        <v/>
      </c>
      <c r="G29" s="31"/>
      <c r="H29" s="32"/>
      <c r="I29" s="33"/>
      <c r="J29" s="34" t="str">
        <f>IF(SUM(G29:I29)=0,"",ROUND(AVERAGE(G29:I29),0))</f>
        <v/>
      </c>
      <c r="K29" s="35"/>
      <c r="L29" s="32"/>
      <c r="M29" s="33"/>
      <c r="N29" s="33" t="str">
        <f>IF(SUM(K29:M29)=0,"",ROUND(AVERAGE(K29:M29),0))</f>
        <v/>
      </c>
      <c r="O29" s="31"/>
      <c r="P29" s="32"/>
      <c r="Q29" s="33"/>
      <c r="R29" s="34" t="str">
        <f>IF(SUM(O29:Q29)=0,"",ROUND(AVERAGE(O29:Q29),0))</f>
        <v/>
      </c>
      <c r="S29" s="31"/>
      <c r="T29" s="32"/>
      <c r="U29" s="33"/>
      <c r="V29" s="34" t="str">
        <f>IF(SUM(S29:U29)=0,"",ROUND(AVERAGE(S29:U29),0))</f>
        <v/>
      </c>
      <c r="W29" s="35"/>
      <c r="X29" s="32"/>
      <c r="Y29" s="33"/>
      <c r="Z29" s="33" t="str">
        <f>IF(SUM(W29:Y29)=0,"",ROUND(AVERAGE(W29:Y29),0))</f>
        <v/>
      </c>
      <c r="AA29" s="31"/>
      <c r="AB29" s="32"/>
      <c r="AC29" s="33"/>
      <c r="AD29" s="34" t="str">
        <f>IF(SUM(AA29:AC29)=0,"",ROUND(AVERAGE(AA29:AC29),0))</f>
        <v/>
      </c>
      <c r="AE29" s="31" t="str">
        <f>IF(BU29="","",BU29)</f>
        <v/>
      </c>
      <c r="AF29" s="32" t="str">
        <f>IF(BV29="","",BV29)</f>
        <v/>
      </c>
      <c r="AG29" s="33" t="str">
        <f>IF(BW29="","",BW29)</f>
        <v/>
      </c>
      <c r="AH29" s="34" t="str">
        <f>IF(BX29="","",BX29)</f>
        <v/>
      </c>
      <c r="AI29" s="31"/>
      <c r="AJ29" s="32"/>
      <c r="AK29" s="33"/>
      <c r="AL29" s="34" t="str">
        <f>IF(SUM(AI29:AK29)=0,"",ROUND(AVERAGE(AI29:AK29),0))</f>
        <v/>
      </c>
      <c r="AM29" s="36"/>
      <c r="AN29" s="37"/>
      <c r="AO29" s="38"/>
      <c r="AP29" s="39" t="str">
        <f>IF(SUM(F29,J29,N29,R29,V29,Z29,AD29,AH29,AL29)=0,"",ROUND(AVERAGE(F29,J29,N29,R29,V29,Z29,AD29,AH29,AL29),2))</f>
        <v/>
      </c>
      <c r="AQ29" s="30">
        <v>22</v>
      </c>
      <c r="AR29" s="61" t="str">
        <f>IF(B29="","",B29)</f>
        <v/>
      </c>
      <c r="AS29" s="40"/>
      <c r="AT29" s="41"/>
      <c r="AU29" s="42"/>
      <c r="AV29" s="43" t="str">
        <f>IF(SUM(AS29:AU29)=0,"",ROUND(AVERAGE(AS29:AU29),0))</f>
        <v/>
      </c>
      <c r="AW29" s="44"/>
      <c r="AX29" s="41"/>
      <c r="AY29" s="42"/>
      <c r="AZ29" s="42" t="str">
        <f>IF(SUM(AW29:AY29)=0,"",ROUND(AVERAGE(AW29:AY29),0))</f>
        <v/>
      </c>
      <c r="BA29" s="40"/>
      <c r="BB29" s="41"/>
      <c r="BC29" s="42"/>
      <c r="BD29" s="43" t="str">
        <f>IF(SUM(BA29:BC29)=0,"",ROUND(AVERAGE(BA29:BC29),0))</f>
        <v/>
      </c>
      <c r="BE29" s="40"/>
      <c r="BF29" s="41"/>
      <c r="BG29" s="42"/>
      <c r="BH29" s="43" t="str">
        <f>IF(SUM(BE29:BG29)=0,"",ROUND(AVERAGE(BE29:BG29),0))</f>
        <v/>
      </c>
      <c r="BI29" s="31"/>
      <c r="BJ29" s="32"/>
      <c r="BK29" s="33"/>
      <c r="BL29" s="34" t="str">
        <f>IF(SUM(BI29:BK29)=0,"",ROUND(AVERAGE(BI29:BK29),0))</f>
        <v/>
      </c>
      <c r="BM29" s="44"/>
      <c r="BN29" s="41"/>
      <c r="BO29" s="42"/>
      <c r="BP29" s="42" t="str">
        <f>IF(SUM(BM29:BO29)=0,"",ROUND(AVERAGE(BM29:BO29),0))</f>
        <v/>
      </c>
      <c r="BQ29" s="40"/>
      <c r="BR29" s="41"/>
      <c r="BS29" s="42"/>
      <c r="BT29" s="43" t="str">
        <f>IF(SUM(BQ29:BS29)=0,"",ROUND(AVERAGE(BQ29:BS29),0))</f>
        <v/>
      </c>
      <c r="BU29" s="31"/>
      <c r="BV29" s="32"/>
      <c r="BW29" s="33"/>
      <c r="BX29" s="34" t="str">
        <f>IF(SUM(BU29:BW29)=0,"",ROUND(AVERAGE(BU29:BW29),0))</f>
        <v/>
      </c>
    </row>
    <row r="30" spans="1:80" customHeight="1" ht="15.75">
      <c r="A30" s="30">
        <v>23</v>
      </c>
      <c r="B30" s="61"/>
      <c r="C30" s="31" t="str">
        <f>IF(BI30="","",BI30)</f>
        <v/>
      </c>
      <c r="D30" s="32" t="str">
        <f>IF(BJ30="","",BJ30)</f>
        <v/>
      </c>
      <c r="E30" s="33" t="str">
        <f>IF(BK30="","",BK30)</f>
        <v/>
      </c>
      <c r="F30" s="34" t="str">
        <f>IF(BL30="","",BL30)</f>
        <v/>
      </c>
      <c r="G30" s="31"/>
      <c r="H30" s="32"/>
      <c r="I30" s="33"/>
      <c r="J30" s="34" t="str">
        <f>IF(SUM(G30:I30)=0,"",ROUND(AVERAGE(G30:I30),0))</f>
        <v/>
      </c>
      <c r="K30" s="35"/>
      <c r="L30" s="32"/>
      <c r="M30" s="33"/>
      <c r="N30" s="33" t="str">
        <f>IF(SUM(K30:M30)=0,"",ROUND(AVERAGE(K30:M30),0))</f>
        <v/>
      </c>
      <c r="O30" s="31"/>
      <c r="P30" s="32"/>
      <c r="Q30" s="33"/>
      <c r="R30" s="34" t="str">
        <f>IF(SUM(O30:Q30)=0,"",ROUND(AVERAGE(O30:Q30),0))</f>
        <v/>
      </c>
      <c r="S30" s="31"/>
      <c r="T30" s="32"/>
      <c r="U30" s="33"/>
      <c r="V30" s="34" t="str">
        <f>IF(SUM(S30:U30)=0,"",ROUND(AVERAGE(S30:U30),0))</f>
        <v/>
      </c>
      <c r="W30" s="35"/>
      <c r="X30" s="32"/>
      <c r="Y30" s="33"/>
      <c r="Z30" s="33" t="str">
        <f>IF(SUM(W30:Y30)=0,"",ROUND(AVERAGE(W30:Y30),0))</f>
        <v/>
      </c>
      <c r="AA30" s="31"/>
      <c r="AB30" s="32"/>
      <c r="AC30" s="33"/>
      <c r="AD30" s="34" t="str">
        <f>IF(SUM(AA30:AC30)=0,"",ROUND(AVERAGE(AA30:AC30),0))</f>
        <v/>
      </c>
      <c r="AE30" s="31" t="str">
        <f>IF(BU30="","",BU30)</f>
        <v/>
      </c>
      <c r="AF30" s="32" t="str">
        <f>IF(BV30="","",BV30)</f>
        <v/>
      </c>
      <c r="AG30" s="33" t="str">
        <f>IF(BW30="","",BW30)</f>
        <v/>
      </c>
      <c r="AH30" s="34" t="str">
        <f>IF(BX30="","",BX30)</f>
        <v/>
      </c>
      <c r="AI30" s="31"/>
      <c r="AJ30" s="32"/>
      <c r="AK30" s="33"/>
      <c r="AL30" s="34" t="str">
        <f>IF(SUM(AI30:AK30)=0,"",ROUND(AVERAGE(AI30:AK30),0))</f>
        <v/>
      </c>
      <c r="AM30" s="36"/>
      <c r="AN30" s="37"/>
      <c r="AO30" s="38"/>
      <c r="AP30" s="39" t="str">
        <f>IF(SUM(F30,J30,N30,R30,V30,Z30,AD30,AH30,AL30)=0,"",ROUND(AVERAGE(F30,J30,N30,R30,V30,Z30,AD30,AH30,AL30),2))</f>
        <v/>
      </c>
      <c r="AQ30" s="30">
        <v>23</v>
      </c>
      <c r="AR30" s="61" t="str">
        <f>IF(B30="","",B30)</f>
        <v/>
      </c>
      <c r="AS30" s="40"/>
      <c r="AT30" s="41"/>
      <c r="AU30" s="42"/>
      <c r="AV30" s="43" t="str">
        <f>IF(SUM(AS30:AU30)=0,"",ROUND(AVERAGE(AS30:AU30),0))</f>
        <v/>
      </c>
      <c r="AW30" s="44"/>
      <c r="AX30" s="41"/>
      <c r="AY30" s="42"/>
      <c r="AZ30" s="42" t="str">
        <f>IF(SUM(AW30:AY30)=0,"",ROUND(AVERAGE(AW30:AY30),0))</f>
        <v/>
      </c>
      <c r="BA30" s="40"/>
      <c r="BB30" s="41"/>
      <c r="BC30" s="42"/>
      <c r="BD30" s="43" t="str">
        <f>IF(SUM(BA30:BC30)=0,"",ROUND(AVERAGE(BA30:BC30),0))</f>
        <v/>
      </c>
      <c r="BE30" s="40"/>
      <c r="BF30" s="41"/>
      <c r="BG30" s="42"/>
      <c r="BH30" s="43" t="str">
        <f>IF(SUM(BE30:BG30)=0,"",ROUND(AVERAGE(BE30:BG30),0))</f>
        <v/>
      </c>
      <c r="BI30" s="31"/>
      <c r="BJ30" s="32"/>
      <c r="BK30" s="33"/>
      <c r="BL30" s="34" t="str">
        <f>IF(SUM(BI30:BK30)=0,"",ROUND(AVERAGE(BI30:BK30),0))</f>
        <v/>
      </c>
      <c r="BM30" s="44"/>
      <c r="BN30" s="41"/>
      <c r="BO30" s="42"/>
      <c r="BP30" s="42" t="str">
        <f>IF(SUM(BM30:BO30)=0,"",ROUND(AVERAGE(BM30:BO30),0))</f>
        <v/>
      </c>
      <c r="BQ30" s="40"/>
      <c r="BR30" s="41"/>
      <c r="BS30" s="42"/>
      <c r="BT30" s="43" t="str">
        <f>IF(SUM(BQ30:BS30)=0,"",ROUND(AVERAGE(BQ30:BS30),0))</f>
        <v/>
      </c>
      <c r="BU30" s="31"/>
      <c r="BV30" s="32"/>
      <c r="BW30" s="33"/>
      <c r="BX30" s="34" t="str">
        <f>IF(SUM(BU30:BW30)=0,"",ROUND(AVERAGE(BU30:BW30),0))</f>
        <v/>
      </c>
    </row>
    <row r="31" spans="1:80" customHeight="1" ht="15.75">
      <c r="A31" s="30">
        <v>24</v>
      </c>
      <c r="B31" s="61"/>
      <c r="C31" s="31" t="str">
        <f>IF(BI31="","",BI31)</f>
        <v/>
      </c>
      <c r="D31" s="32" t="str">
        <f>IF(BJ31="","",BJ31)</f>
        <v/>
      </c>
      <c r="E31" s="33" t="str">
        <f>IF(BK31="","",BK31)</f>
        <v/>
      </c>
      <c r="F31" s="34" t="str">
        <f>IF(BL31="","",BL31)</f>
        <v/>
      </c>
      <c r="G31" s="31"/>
      <c r="H31" s="32"/>
      <c r="I31" s="33"/>
      <c r="J31" s="34" t="str">
        <f>IF(SUM(G31:I31)=0,"",ROUND(AVERAGE(G31:I31),0))</f>
        <v/>
      </c>
      <c r="K31" s="35"/>
      <c r="L31" s="32"/>
      <c r="M31" s="33"/>
      <c r="N31" s="33" t="str">
        <f>IF(SUM(K31:M31)=0,"",ROUND(AVERAGE(K31:M31),0))</f>
        <v/>
      </c>
      <c r="O31" s="31"/>
      <c r="P31" s="32"/>
      <c r="Q31" s="33"/>
      <c r="R31" s="34" t="str">
        <f>IF(SUM(O31:Q31)=0,"",ROUND(AVERAGE(O31:Q31),0))</f>
        <v/>
      </c>
      <c r="S31" s="31"/>
      <c r="T31" s="32"/>
      <c r="U31" s="33"/>
      <c r="V31" s="34" t="str">
        <f>IF(SUM(S31:U31)=0,"",ROUND(AVERAGE(S31:U31),0))</f>
        <v/>
      </c>
      <c r="W31" s="35"/>
      <c r="X31" s="32"/>
      <c r="Y31" s="33"/>
      <c r="Z31" s="33" t="str">
        <f>IF(SUM(W31:Y31)=0,"",ROUND(AVERAGE(W31:Y31),0))</f>
        <v/>
      </c>
      <c r="AA31" s="31"/>
      <c r="AB31" s="32"/>
      <c r="AC31" s="33"/>
      <c r="AD31" s="34" t="str">
        <f>IF(SUM(AA31:AC31)=0,"",ROUND(AVERAGE(AA31:AC31),0))</f>
        <v/>
      </c>
      <c r="AE31" s="31" t="str">
        <f>IF(BU31="","",BU31)</f>
        <v/>
      </c>
      <c r="AF31" s="32" t="str">
        <f>IF(BV31="","",BV31)</f>
        <v/>
      </c>
      <c r="AG31" s="33" t="str">
        <f>IF(BW31="","",BW31)</f>
        <v/>
      </c>
      <c r="AH31" s="34" t="str">
        <f>IF(BX31="","",BX31)</f>
        <v/>
      </c>
      <c r="AI31" s="31"/>
      <c r="AJ31" s="32"/>
      <c r="AK31" s="33"/>
      <c r="AL31" s="34" t="str">
        <f>IF(SUM(AI31:AK31)=0,"",ROUND(AVERAGE(AI31:AK31),0))</f>
        <v/>
      </c>
      <c r="AM31" s="36"/>
      <c r="AN31" s="37"/>
      <c r="AO31" s="38"/>
      <c r="AP31" s="39" t="str">
        <f>IF(SUM(F31,J31,N31,R31,V31,Z31,AD31,AH31,AL31)=0,"",ROUND(AVERAGE(F31,J31,N31,R31,V31,Z31,AD31,AH31,AL31),2))</f>
        <v/>
      </c>
      <c r="AQ31" s="30">
        <v>24</v>
      </c>
      <c r="AR31" s="61" t="str">
        <f>IF(B31="","",B31)</f>
        <v/>
      </c>
      <c r="AS31" s="40"/>
      <c r="AT31" s="41"/>
      <c r="AU31" s="42"/>
      <c r="AV31" s="43" t="str">
        <f>IF(SUM(AS31:AU31)=0,"",ROUND(AVERAGE(AS31:AU31),0))</f>
        <v/>
      </c>
      <c r="AW31" s="44"/>
      <c r="AX31" s="41"/>
      <c r="AY31" s="42"/>
      <c r="AZ31" s="42" t="str">
        <f>IF(SUM(AW31:AY31)=0,"",ROUND(AVERAGE(AW31:AY31),0))</f>
        <v/>
      </c>
      <c r="BA31" s="40"/>
      <c r="BB31" s="41"/>
      <c r="BC31" s="42"/>
      <c r="BD31" s="43" t="str">
        <f>IF(SUM(BA31:BC31)=0,"",ROUND(AVERAGE(BA31:BC31),0))</f>
        <v/>
      </c>
      <c r="BE31" s="40"/>
      <c r="BF31" s="41"/>
      <c r="BG31" s="42"/>
      <c r="BH31" s="43" t="str">
        <f>IF(SUM(BE31:BG31)=0,"",ROUND(AVERAGE(BE31:BG31),0))</f>
        <v/>
      </c>
      <c r="BI31" s="31"/>
      <c r="BJ31" s="32"/>
      <c r="BK31" s="33"/>
      <c r="BL31" s="34" t="str">
        <f>IF(SUM(BI31:BK31)=0,"",ROUND(AVERAGE(BI31:BK31),0))</f>
        <v/>
      </c>
      <c r="BM31" s="44"/>
      <c r="BN31" s="41"/>
      <c r="BO31" s="42"/>
      <c r="BP31" s="42" t="str">
        <f>IF(SUM(BM31:BO31)=0,"",ROUND(AVERAGE(BM31:BO31),0))</f>
        <v/>
      </c>
      <c r="BQ31" s="40"/>
      <c r="BR31" s="41"/>
      <c r="BS31" s="42"/>
      <c r="BT31" s="43" t="str">
        <f>IF(SUM(BQ31:BS31)=0,"",ROUND(AVERAGE(BQ31:BS31),0))</f>
        <v/>
      </c>
      <c r="BU31" s="31"/>
      <c r="BV31" s="32"/>
      <c r="BW31" s="33"/>
      <c r="BX31" s="34" t="str">
        <f>IF(SUM(BU31:BW31)=0,"",ROUND(AVERAGE(BU31:BW31),0))</f>
        <v/>
      </c>
    </row>
    <row r="32" spans="1:80" customHeight="1" ht="15.75">
      <c r="A32" s="30">
        <v>25</v>
      </c>
      <c r="B32" s="61"/>
      <c r="C32" s="31" t="str">
        <f>IF(BI32="","",BI32)</f>
        <v/>
      </c>
      <c r="D32" s="32" t="str">
        <f>IF(BJ32="","",BJ32)</f>
        <v/>
      </c>
      <c r="E32" s="33" t="str">
        <f>IF(BK32="","",BK32)</f>
        <v/>
      </c>
      <c r="F32" s="34" t="str">
        <f>IF(BL32="","",BL32)</f>
        <v/>
      </c>
      <c r="G32" s="31"/>
      <c r="H32" s="32"/>
      <c r="I32" s="33"/>
      <c r="J32" s="34" t="str">
        <f>IF(SUM(G32:I32)=0,"",ROUND(AVERAGE(G32:I32),0))</f>
        <v/>
      </c>
      <c r="K32" s="35"/>
      <c r="L32" s="32"/>
      <c r="M32" s="33"/>
      <c r="N32" s="33" t="str">
        <f>IF(SUM(K32:M32)=0,"",ROUND(AVERAGE(K32:M32),0))</f>
        <v/>
      </c>
      <c r="O32" s="31"/>
      <c r="P32" s="32"/>
      <c r="Q32" s="33"/>
      <c r="R32" s="34" t="str">
        <f>IF(SUM(O32:Q32)=0,"",ROUND(AVERAGE(O32:Q32),0))</f>
        <v/>
      </c>
      <c r="S32" s="31"/>
      <c r="T32" s="32"/>
      <c r="U32" s="33"/>
      <c r="V32" s="34" t="str">
        <f>IF(SUM(S32:U32)=0,"",ROUND(AVERAGE(S32:U32),0))</f>
        <v/>
      </c>
      <c r="W32" s="35"/>
      <c r="X32" s="32"/>
      <c r="Y32" s="33"/>
      <c r="Z32" s="33" t="str">
        <f>IF(SUM(W32:Y32)=0,"",ROUND(AVERAGE(W32:Y32),0))</f>
        <v/>
      </c>
      <c r="AA32" s="31"/>
      <c r="AB32" s="32"/>
      <c r="AC32" s="33"/>
      <c r="AD32" s="34" t="str">
        <f>IF(SUM(AA32:AC32)=0,"",ROUND(AVERAGE(AA32:AC32),0))</f>
        <v/>
      </c>
      <c r="AE32" s="31" t="str">
        <f>IF(BU32="","",BU32)</f>
        <v/>
      </c>
      <c r="AF32" s="32" t="str">
        <f>IF(BV32="","",BV32)</f>
        <v/>
      </c>
      <c r="AG32" s="33" t="str">
        <f>IF(BW32="","",BW32)</f>
        <v/>
      </c>
      <c r="AH32" s="34" t="str">
        <f>IF(BX32="","",BX32)</f>
        <v/>
      </c>
      <c r="AI32" s="31"/>
      <c r="AJ32" s="32"/>
      <c r="AK32" s="33"/>
      <c r="AL32" s="34" t="str">
        <f>IF(SUM(AI32:AK32)=0,"",ROUND(AVERAGE(AI32:AK32),0))</f>
        <v/>
      </c>
      <c r="AM32" s="36"/>
      <c r="AN32" s="37"/>
      <c r="AO32" s="38"/>
      <c r="AP32" s="39" t="str">
        <f>IF(SUM(F32,J32,N32,R32,V32,Z32,AD32,AH32,AL32)=0,"",ROUND(AVERAGE(F32,J32,N32,R32,V32,Z32,AD32,AH32,AL32),2))</f>
        <v/>
      </c>
      <c r="AQ32" s="30">
        <v>25</v>
      </c>
      <c r="AR32" s="61" t="str">
        <f>IF(B32="","",B32)</f>
        <v/>
      </c>
      <c r="AS32" s="40"/>
      <c r="AT32" s="41"/>
      <c r="AU32" s="42"/>
      <c r="AV32" s="43" t="str">
        <f>IF(SUM(AS32:AU32)=0,"",ROUND(AVERAGE(AS32:AU32),0))</f>
        <v/>
      </c>
      <c r="AW32" s="44"/>
      <c r="AX32" s="41"/>
      <c r="AY32" s="42"/>
      <c r="AZ32" s="42" t="str">
        <f>IF(SUM(AW32:AY32)=0,"",ROUND(AVERAGE(AW32:AY32),0))</f>
        <v/>
      </c>
      <c r="BA32" s="40"/>
      <c r="BB32" s="41"/>
      <c r="BC32" s="42"/>
      <c r="BD32" s="43" t="str">
        <f>IF(SUM(BA32:BC32)=0,"",ROUND(AVERAGE(BA32:BC32),0))</f>
        <v/>
      </c>
      <c r="BE32" s="40"/>
      <c r="BF32" s="41"/>
      <c r="BG32" s="42"/>
      <c r="BH32" s="43" t="str">
        <f>IF(SUM(BE32:BG32)=0,"",ROUND(AVERAGE(BE32:BG32),0))</f>
        <v/>
      </c>
      <c r="BI32" s="31"/>
      <c r="BJ32" s="32"/>
      <c r="BK32" s="33"/>
      <c r="BL32" s="34" t="str">
        <f>IF(SUM(BI32:BK32)=0,"",ROUND(AVERAGE(BI32:BK32),0))</f>
        <v/>
      </c>
      <c r="BM32" s="44"/>
      <c r="BN32" s="41"/>
      <c r="BO32" s="42"/>
      <c r="BP32" s="42" t="str">
        <f>IF(SUM(BM32:BO32)=0,"",ROUND(AVERAGE(BM32:BO32),0))</f>
        <v/>
      </c>
      <c r="BQ32" s="40"/>
      <c r="BR32" s="41"/>
      <c r="BS32" s="42"/>
      <c r="BT32" s="43" t="str">
        <f>IF(SUM(BQ32:BS32)=0,"",ROUND(AVERAGE(BQ32:BS32),0))</f>
        <v/>
      </c>
      <c r="BU32" s="31"/>
      <c r="BV32" s="32"/>
      <c r="BW32" s="33"/>
      <c r="BX32" s="34" t="str">
        <f>IF(SUM(BU32:BW32)=0,"",ROUND(AVERAGE(BU32:BW32),0))</f>
        <v/>
      </c>
    </row>
    <row r="33" spans="1:80" customHeight="1" ht="15.75">
      <c r="A33" s="30">
        <v>26</v>
      </c>
      <c r="B33" s="61"/>
      <c r="C33" s="31" t="str">
        <f>IF(BI33="","",BI33)</f>
        <v/>
      </c>
      <c r="D33" s="32" t="str">
        <f>IF(BJ33="","",BJ33)</f>
        <v/>
      </c>
      <c r="E33" s="33" t="str">
        <f>IF(BK33="","",BK33)</f>
        <v/>
      </c>
      <c r="F33" s="34" t="str">
        <f>IF(BL33="","",BL33)</f>
        <v/>
      </c>
      <c r="G33" s="31"/>
      <c r="H33" s="32"/>
      <c r="I33" s="33"/>
      <c r="J33" s="34" t="str">
        <f>IF(SUM(G33:I33)=0,"",ROUND(AVERAGE(G33:I33),0))</f>
        <v/>
      </c>
      <c r="K33" s="35"/>
      <c r="L33" s="32"/>
      <c r="M33" s="33"/>
      <c r="N33" s="33" t="str">
        <f>IF(SUM(K33:M33)=0,"",ROUND(AVERAGE(K33:M33),0))</f>
        <v/>
      </c>
      <c r="O33" s="31"/>
      <c r="P33" s="32"/>
      <c r="Q33" s="33"/>
      <c r="R33" s="34" t="str">
        <f>IF(SUM(O33:Q33)=0,"",ROUND(AVERAGE(O33:Q33),0))</f>
        <v/>
      </c>
      <c r="S33" s="31"/>
      <c r="T33" s="32"/>
      <c r="U33" s="33"/>
      <c r="V33" s="34" t="str">
        <f>IF(SUM(S33:U33)=0,"",ROUND(AVERAGE(S33:U33),0))</f>
        <v/>
      </c>
      <c r="W33" s="35"/>
      <c r="X33" s="32"/>
      <c r="Y33" s="33"/>
      <c r="Z33" s="33" t="str">
        <f>IF(SUM(W33:Y33)=0,"",ROUND(AVERAGE(W33:Y33),0))</f>
        <v/>
      </c>
      <c r="AA33" s="31"/>
      <c r="AB33" s="32"/>
      <c r="AC33" s="33"/>
      <c r="AD33" s="34" t="str">
        <f>IF(SUM(AA33:AC33)=0,"",ROUND(AVERAGE(AA33:AC33),0))</f>
        <v/>
      </c>
      <c r="AE33" s="31" t="str">
        <f>IF(BU33="","",BU33)</f>
        <v/>
      </c>
      <c r="AF33" s="32" t="str">
        <f>IF(BV33="","",BV33)</f>
        <v/>
      </c>
      <c r="AG33" s="33" t="str">
        <f>IF(BW33="","",BW33)</f>
        <v/>
      </c>
      <c r="AH33" s="34" t="str">
        <f>IF(BX33="","",BX33)</f>
        <v/>
      </c>
      <c r="AI33" s="31"/>
      <c r="AJ33" s="32"/>
      <c r="AK33" s="33"/>
      <c r="AL33" s="34" t="str">
        <f>IF(SUM(AI33:AK33)=0,"",ROUND(AVERAGE(AI33:AK33),0))</f>
        <v/>
      </c>
      <c r="AM33" s="36"/>
      <c r="AN33" s="37"/>
      <c r="AO33" s="38"/>
      <c r="AP33" s="39" t="str">
        <f>IF(SUM(F33,J33,N33,R33,V33,Z33,AD33,AH33,AL33)=0,"",ROUND(AVERAGE(F33,J33,N33,R33,V33,Z33,AD33,AH33,AL33),2))</f>
        <v/>
      </c>
      <c r="AQ33" s="30">
        <v>26</v>
      </c>
      <c r="AR33" s="61" t="str">
        <f>IF(B33="","",B33)</f>
        <v/>
      </c>
      <c r="AS33" s="40"/>
      <c r="AT33" s="41"/>
      <c r="AU33" s="42"/>
      <c r="AV33" s="43" t="str">
        <f>IF(SUM(AS33:AU33)=0,"",ROUND(AVERAGE(AS33:AU33),0))</f>
        <v/>
      </c>
      <c r="AW33" s="44"/>
      <c r="AX33" s="41"/>
      <c r="AY33" s="42"/>
      <c r="AZ33" s="42" t="str">
        <f>IF(SUM(AW33:AY33)=0,"",ROUND(AVERAGE(AW33:AY33),0))</f>
        <v/>
      </c>
      <c r="BA33" s="40"/>
      <c r="BB33" s="41"/>
      <c r="BC33" s="42"/>
      <c r="BD33" s="43" t="str">
        <f>IF(SUM(BA33:BC33)=0,"",ROUND(AVERAGE(BA33:BC33),0))</f>
        <v/>
      </c>
      <c r="BE33" s="40"/>
      <c r="BF33" s="41"/>
      <c r="BG33" s="42"/>
      <c r="BH33" s="43" t="str">
        <f>IF(SUM(BE33:BG33)=0,"",ROUND(AVERAGE(BE33:BG33),0))</f>
        <v/>
      </c>
      <c r="BI33" s="31"/>
      <c r="BJ33" s="32"/>
      <c r="BK33" s="33"/>
      <c r="BL33" s="34" t="str">
        <f>IF(SUM(BI33:BK33)=0,"",ROUND(AVERAGE(BI33:BK33),0))</f>
        <v/>
      </c>
      <c r="BM33" s="44"/>
      <c r="BN33" s="41"/>
      <c r="BO33" s="42"/>
      <c r="BP33" s="42" t="str">
        <f>IF(SUM(BM33:BO33)=0,"",ROUND(AVERAGE(BM33:BO33),0))</f>
        <v/>
      </c>
      <c r="BQ33" s="40"/>
      <c r="BR33" s="41"/>
      <c r="BS33" s="42"/>
      <c r="BT33" s="43" t="str">
        <f>IF(SUM(BQ33:BS33)=0,"",ROUND(AVERAGE(BQ33:BS33),0))</f>
        <v/>
      </c>
      <c r="BU33" s="31"/>
      <c r="BV33" s="32"/>
      <c r="BW33" s="33"/>
      <c r="BX33" s="34" t="str">
        <f>IF(SUM(BU33:BW33)=0,"",ROUND(AVERAGE(BU33:BW33),0))</f>
        <v/>
      </c>
    </row>
    <row r="34" spans="1:80" customHeight="1" ht="15.75">
      <c r="A34" s="30">
        <v>27</v>
      </c>
      <c r="B34" s="61"/>
      <c r="C34" s="31" t="str">
        <f>IF(BI34="","",BI34)</f>
        <v/>
      </c>
      <c r="D34" s="32" t="str">
        <f>IF(BJ34="","",BJ34)</f>
        <v/>
      </c>
      <c r="E34" s="33" t="str">
        <f>IF(BK34="","",BK34)</f>
        <v/>
      </c>
      <c r="F34" s="34" t="str">
        <f>IF(BL34="","",BL34)</f>
        <v/>
      </c>
      <c r="G34" s="31"/>
      <c r="H34" s="32"/>
      <c r="I34" s="33"/>
      <c r="J34" s="34" t="str">
        <f>IF(SUM(G34:I34)=0,"",ROUND(AVERAGE(G34:I34),0))</f>
        <v/>
      </c>
      <c r="K34" s="35"/>
      <c r="L34" s="32"/>
      <c r="M34" s="33"/>
      <c r="N34" s="33" t="str">
        <f>IF(SUM(K34:M34)=0,"",ROUND(AVERAGE(K34:M34),0))</f>
        <v/>
      </c>
      <c r="O34" s="31"/>
      <c r="P34" s="32"/>
      <c r="Q34" s="33"/>
      <c r="R34" s="34" t="str">
        <f>IF(SUM(O34:Q34)=0,"",ROUND(AVERAGE(O34:Q34),0))</f>
        <v/>
      </c>
      <c r="S34" s="31"/>
      <c r="T34" s="32"/>
      <c r="U34" s="33"/>
      <c r="V34" s="34" t="str">
        <f>IF(SUM(S34:U34)=0,"",ROUND(AVERAGE(S34:U34),0))</f>
        <v/>
      </c>
      <c r="W34" s="35"/>
      <c r="X34" s="32"/>
      <c r="Y34" s="33"/>
      <c r="Z34" s="33" t="str">
        <f>IF(SUM(W34:Y34)=0,"",ROUND(AVERAGE(W34:Y34),0))</f>
        <v/>
      </c>
      <c r="AA34" s="31"/>
      <c r="AB34" s="32"/>
      <c r="AC34" s="33"/>
      <c r="AD34" s="34" t="str">
        <f>IF(SUM(AA34:AC34)=0,"",ROUND(AVERAGE(AA34:AC34),0))</f>
        <v/>
      </c>
      <c r="AE34" s="31" t="str">
        <f>IF(BU34="","",BU34)</f>
        <v/>
      </c>
      <c r="AF34" s="32" t="str">
        <f>IF(BV34="","",BV34)</f>
        <v/>
      </c>
      <c r="AG34" s="33" t="str">
        <f>IF(BW34="","",BW34)</f>
        <v/>
      </c>
      <c r="AH34" s="34" t="str">
        <f>IF(BX34="","",BX34)</f>
        <v/>
      </c>
      <c r="AI34" s="31"/>
      <c r="AJ34" s="32"/>
      <c r="AK34" s="33"/>
      <c r="AL34" s="34" t="str">
        <f>IF(SUM(AI34:AK34)=0,"",ROUND(AVERAGE(AI34:AK34),0))</f>
        <v/>
      </c>
      <c r="AM34" s="36"/>
      <c r="AN34" s="37"/>
      <c r="AO34" s="38"/>
      <c r="AP34" s="39" t="str">
        <f>IF(SUM(F34,J34,N34,R34,V34,Z34,AD34,AH34,AL34)=0,"",ROUND(AVERAGE(F34,J34,N34,R34,V34,Z34,AD34,AH34,AL34),2))</f>
        <v/>
      </c>
      <c r="AQ34" s="30">
        <v>27</v>
      </c>
      <c r="AR34" s="61" t="str">
        <f>IF(B34="","",B34)</f>
        <v/>
      </c>
      <c r="AS34" s="40"/>
      <c r="AT34" s="41"/>
      <c r="AU34" s="42"/>
      <c r="AV34" s="43" t="str">
        <f>IF(SUM(AS34:AU34)=0,"",ROUND(AVERAGE(AS34:AU34),0))</f>
        <v/>
      </c>
      <c r="AW34" s="44"/>
      <c r="AX34" s="41"/>
      <c r="AY34" s="42"/>
      <c r="AZ34" s="42" t="str">
        <f>IF(SUM(AW34:AY34)=0,"",ROUND(AVERAGE(AW34:AY34),0))</f>
        <v/>
      </c>
      <c r="BA34" s="40"/>
      <c r="BB34" s="41"/>
      <c r="BC34" s="42"/>
      <c r="BD34" s="43" t="str">
        <f>IF(SUM(BA34:BC34)=0,"",ROUND(AVERAGE(BA34:BC34),0))</f>
        <v/>
      </c>
      <c r="BE34" s="40"/>
      <c r="BF34" s="41"/>
      <c r="BG34" s="42"/>
      <c r="BH34" s="43" t="str">
        <f>IF(SUM(BE34:BG34)=0,"",ROUND(AVERAGE(BE34:BG34),0))</f>
        <v/>
      </c>
      <c r="BI34" s="31"/>
      <c r="BJ34" s="32"/>
      <c r="BK34" s="33"/>
      <c r="BL34" s="34" t="str">
        <f>IF(SUM(BI34:BK34)=0,"",ROUND(AVERAGE(BI34:BK34),0))</f>
        <v/>
      </c>
      <c r="BM34" s="44"/>
      <c r="BN34" s="41"/>
      <c r="BO34" s="42"/>
      <c r="BP34" s="42" t="str">
        <f>IF(SUM(BM34:BO34)=0,"",ROUND(AVERAGE(BM34:BO34),0))</f>
        <v/>
      </c>
      <c r="BQ34" s="40"/>
      <c r="BR34" s="41"/>
      <c r="BS34" s="42"/>
      <c r="BT34" s="43" t="str">
        <f>IF(SUM(BQ34:BS34)=0,"",ROUND(AVERAGE(BQ34:BS34),0))</f>
        <v/>
      </c>
      <c r="BU34" s="31"/>
      <c r="BV34" s="32"/>
      <c r="BW34" s="33"/>
      <c r="BX34" s="34" t="str">
        <f>IF(SUM(BU34:BW34)=0,"",ROUND(AVERAGE(BU34:BW34),0))</f>
        <v/>
      </c>
    </row>
    <row r="35" spans="1:80" customHeight="1" ht="15.75">
      <c r="A35" s="30">
        <v>28</v>
      </c>
      <c r="B35" s="61"/>
      <c r="C35" s="31" t="str">
        <f>IF(BI35="","",BI35)</f>
        <v/>
      </c>
      <c r="D35" s="32" t="str">
        <f>IF(BJ35="","",BJ35)</f>
        <v/>
      </c>
      <c r="E35" s="33" t="str">
        <f>IF(BK35="","",BK35)</f>
        <v/>
      </c>
      <c r="F35" s="34" t="str">
        <f>IF(BL35="","",BL35)</f>
        <v/>
      </c>
      <c r="G35" s="31"/>
      <c r="H35" s="32"/>
      <c r="I35" s="33"/>
      <c r="J35" s="34" t="str">
        <f>IF(SUM(G35:I35)=0,"",ROUND(AVERAGE(G35:I35),0))</f>
        <v/>
      </c>
      <c r="K35" s="35"/>
      <c r="L35" s="32"/>
      <c r="M35" s="33"/>
      <c r="N35" s="33" t="str">
        <f>IF(SUM(K35:M35)=0,"",ROUND(AVERAGE(K35:M35),0))</f>
        <v/>
      </c>
      <c r="O35" s="31"/>
      <c r="P35" s="32"/>
      <c r="Q35" s="33"/>
      <c r="R35" s="34" t="str">
        <f>IF(SUM(O35:Q35)=0,"",ROUND(AVERAGE(O35:Q35),0))</f>
        <v/>
      </c>
      <c r="S35" s="31"/>
      <c r="T35" s="32"/>
      <c r="U35" s="33"/>
      <c r="V35" s="34" t="str">
        <f>IF(SUM(S35:U35)=0,"",ROUND(AVERAGE(S35:U35),0))</f>
        <v/>
      </c>
      <c r="W35" s="35"/>
      <c r="X35" s="32"/>
      <c r="Y35" s="33"/>
      <c r="Z35" s="33" t="str">
        <f>IF(SUM(W35:Y35)=0,"",ROUND(AVERAGE(W35:Y35),0))</f>
        <v/>
      </c>
      <c r="AA35" s="31"/>
      <c r="AB35" s="32"/>
      <c r="AC35" s="33"/>
      <c r="AD35" s="34" t="str">
        <f>IF(SUM(AA35:AC35)=0,"",ROUND(AVERAGE(AA35:AC35),0))</f>
        <v/>
      </c>
      <c r="AE35" s="31" t="str">
        <f>IF(BU35="","",BU35)</f>
        <v/>
      </c>
      <c r="AF35" s="32" t="str">
        <f>IF(BV35="","",BV35)</f>
        <v/>
      </c>
      <c r="AG35" s="33" t="str">
        <f>IF(BW35="","",BW35)</f>
        <v/>
      </c>
      <c r="AH35" s="34" t="str">
        <f>IF(BX35="","",BX35)</f>
        <v/>
      </c>
      <c r="AI35" s="31"/>
      <c r="AJ35" s="32"/>
      <c r="AK35" s="33"/>
      <c r="AL35" s="34" t="str">
        <f>IF(SUM(AI35:AK35)=0,"",ROUND(AVERAGE(AI35:AK35),0))</f>
        <v/>
      </c>
      <c r="AM35" s="36"/>
      <c r="AN35" s="37"/>
      <c r="AO35" s="38"/>
      <c r="AP35" s="39" t="str">
        <f>IF(SUM(F35,J35,N35,R35,V35,Z35,AD35,AH35,AL35)=0,"",ROUND(AVERAGE(F35,J35,N35,R35,V35,Z35,AD35,AH35,AL35),2))</f>
        <v/>
      </c>
      <c r="AQ35" s="30">
        <v>28</v>
      </c>
      <c r="AR35" s="61" t="str">
        <f>IF(B35="","",B35)</f>
        <v/>
      </c>
      <c r="AS35" s="40"/>
      <c r="AT35" s="41"/>
      <c r="AU35" s="42"/>
      <c r="AV35" s="43" t="str">
        <f>IF(SUM(AS35:AU35)=0,"",ROUND(AVERAGE(AS35:AU35),0))</f>
        <v/>
      </c>
      <c r="AW35" s="44"/>
      <c r="AX35" s="41"/>
      <c r="AY35" s="42"/>
      <c r="AZ35" s="42" t="str">
        <f>IF(SUM(AW35:AY35)=0,"",ROUND(AVERAGE(AW35:AY35),0))</f>
        <v/>
      </c>
      <c r="BA35" s="40"/>
      <c r="BB35" s="41"/>
      <c r="BC35" s="42"/>
      <c r="BD35" s="43" t="str">
        <f>IF(SUM(BA35:BC35)=0,"",ROUND(AVERAGE(BA35:BC35),0))</f>
        <v/>
      </c>
      <c r="BE35" s="40"/>
      <c r="BF35" s="41"/>
      <c r="BG35" s="42"/>
      <c r="BH35" s="43" t="str">
        <f>IF(SUM(BE35:BG35)=0,"",ROUND(AVERAGE(BE35:BG35),0))</f>
        <v/>
      </c>
      <c r="BI35" s="31"/>
      <c r="BJ35" s="32"/>
      <c r="BK35" s="33"/>
      <c r="BL35" s="34" t="str">
        <f>IF(SUM(BI35:BK35)=0,"",ROUND(AVERAGE(BI35:BK35),0))</f>
        <v/>
      </c>
      <c r="BM35" s="44"/>
      <c r="BN35" s="41"/>
      <c r="BO35" s="42"/>
      <c r="BP35" s="42" t="str">
        <f>IF(SUM(BM35:BO35)=0,"",ROUND(AVERAGE(BM35:BO35),0))</f>
        <v/>
      </c>
      <c r="BQ35" s="40"/>
      <c r="BR35" s="41"/>
      <c r="BS35" s="42"/>
      <c r="BT35" s="43" t="str">
        <f>IF(SUM(BQ35:BS35)=0,"",ROUND(AVERAGE(BQ35:BS35),0))</f>
        <v/>
      </c>
      <c r="BU35" s="31"/>
      <c r="BV35" s="32"/>
      <c r="BW35" s="33"/>
      <c r="BX35" s="34" t="str">
        <f>IF(SUM(BU35:BW35)=0,"",ROUND(AVERAGE(BU35:BW35),0))</f>
        <v/>
      </c>
    </row>
    <row r="36" spans="1:80" customHeight="1" ht="15.75">
      <c r="A36" s="30">
        <v>29</v>
      </c>
      <c r="B36" s="61"/>
      <c r="C36" s="31" t="str">
        <f>IF(BI36="","",BI36)</f>
        <v/>
      </c>
      <c r="D36" s="32" t="str">
        <f>IF(BJ36="","",BJ36)</f>
        <v/>
      </c>
      <c r="E36" s="33" t="str">
        <f>IF(BK36="","",BK36)</f>
        <v/>
      </c>
      <c r="F36" s="34" t="str">
        <f>IF(BL36="","",BL36)</f>
        <v/>
      </c>
      <c r="G36" s="31"/>
      <c r="H36" s="32"/>
      <c r="I36" s="33"/>
      <c r="J36" s="34" t="str">
        <f>IF(SUM(G36:I36)=0,"",ROUND(AVERAGE(G36:I36),0))</f>
        <v/>
      </c>
      <c r="K36" s="35"/>
      <c r="L36" s="32"/>
      <c r="M36" s="33"/>
      <c r="N36" s="33" t="str">
        <f>IF(SUM(K36:M36)=0,"",ROUND(AVERAGE(K36:M36),0))</f>
        <v/>
      </c>
      <c r="O36" s="31"/>
      <c r="P36" s="32"/>
      <c r="Q36" s="33"/>
      <c r="R36" s="34" t="str">
        <f>IF(SUM(O36:Q36)=0,"",ROUND(AVERAGE(O36:Q36),0))</f>
        <v/>
      </c>
      <c r="S36" s="31"/>
      <c r="T36" s="32"/>
      <c r="U36" s="33"/>
      <c r="V36" s="34" t="str">
        <f>IF(SUM(S36:U36)=0,"",ROUND(AVERAGE(S36:U36),0))</f>
        <v/>
      </c>
      <c r="W36" s="35"/>
      <c r="X36" s="32"/>
      <c r="Y36" s="33"/>
      <c r="Z36" s="33" t="str">
        <f>IF(SUM(W36:Y36)=0,"",ROUND(AVERAGE(W36:Y36),0))</f>
        <v/>
      </c>
      <c r="AA36" s="31"/>
      <c r="AB36" s="32"/>
      <c r="AC36" s="33"/>
      <c r="AD36" s="34" t="str">
        <f>IF(SUM(AA36:AC36)=0,"",ROUND(AVERAGE(AA36:AC36),0))</f>
        <v/>
      </c>
      <c r="AE36" s="31" t="str">
        <f>IF(BU36="","",BU36)</f>
        <v/>
      </c>
      <c r="AF36" s="32" t="str">
        <f>IF(BV36="","",BV36)</f>
        <v/>
      </c>
      <c r="AG36" s="33" t="str">
        <f>IF(BW36="","",BW36)</f>
        <v/>
      </c>
      <c r="AH36" s="34" t="str">
        <f>IF(BX36="","",BX36)</f>
        <v/>
      </c>
      <c r="AI36" s="31"/>
      <c r="AJ36" s="32"/>
      <c r="AK36" s="33"/>
      <c r="AL36" s="34" t="str">
        <f>IF(SUM(AI36:AK36)=0,"",ROUND(AVERAGE(AI36:AK36),0))</f>
        <v/>
      </c>
      <c r="AM36" s="36"/>
      <c r="AN36" s="37"/>
      <c r="AO36" s="38"/>
      <c r="AP36" s="39" t="str">
        <f>IF(SUM(F36,J36,N36,R36,V36,Z36,AD36,AH36,AL36)=0,"",ROUND(AVERAGE(F36,J36,N36,R36,V36,Z36,AD36,AH36,AL36),2))</f>
        <v/>
      </c>
      <c r="AQ36" s="30">
        <v>29</v>
      </c>
      <c r="AR36" s="61" t="str">
        <f>IF(B36="","",B36)</f>
        <v/>
      </c>
      <c r="AS36" s="40"/>
      <c r="AT36" s="41"/>
      <c r="AU36" s="42"/>
      <c r="AV36" s="43" t="str">
        <f>IF(SUM(AS36:AU36)=0,"",ROUND(AVERAGE(AS36:AU36),0))</f>
        <v/>
      </c>
      <c r="AW36" s="44"/>
      <c r="AX36" s="41"/>
      <c r="AY36" s="42"/>
      <c r="AZ36" s="42" t="str">
        <f>IF(SUM(AW36:AY36)=0,"",ROUND(AVERAGE(AW36:AY36),0))</f>
        <v/>
      </c>
      <c r="BA36" s="40"/>
      <c r="BB36" s="41"/>
      <c r="BC36" s="42"/>
      <c r="BD36" s="43" t="str">
        <f>IF(SUM(BA36:BC36)=0,"",ROUND(AVERAGE(BA36:BC36),0))</f>
        <v/>
      </c>
      <c r="BE36" s="40"/>
      <c r="BF36" s="41"/>
      <c r="BG36" s="42"/>
      <c r="BH36" s="43" t="str">
        <f>IF(SUM(BE36:BG36)=0,"",ROUND(AVERAGE(BE36:BG36),0))</f>
        <v/>
      </c>
      <c r="BI36" s="31"/>
      <c r="BJ36" s="32"/>
      <c r="BK36" s="33"/>
      <c r="BL36" s="34" t="str">
        <f>IF(SUM(BI36:BK36)=0,"",ROUND(AVERAGE(BI36:BK36),0))</f>
        <v/>
      </c>
      <c r="BM36" s="44"/>
      <c r="BN36" s="41"/>
      <c r="BO36" s="42"/>
      <c r="BP36" s="42" t="str">
        <f>IF(SUM(BM36:BO36)=0,"",ROUND(AVERAGE(BM36:BO36),0))</f>
        <v/>
      </c>
      <c r="BQ36" s="40"/>
      <c r="BR36" s="41"/>
      <c r="BS36" s="42"/>
      <c r="BT36" s="43" t="str">
        <f>IF(SUM(BQ36:BS36)=0,"",ROUND(AVERAGE(BQ36:BS36),0))</f>
        <v/>
      </c>
      <c r="BU36" s="31"/>
      <c r="BV36" s="32"/>
      <c r="BW36" s="33"/>
      <c r="BX36" s="34" t="str">
        <f>IF(SUM(BU36:BW36)=0,"",ROUND(AVERAGE(BU36:BW36),0))</f>
        <v/>
      </c>
    </row>
    <row r="37" spans="1:80" customHeight="1" ht="15.75">
      <c r="A37" s="45">
        <v>30</v>
      </c>
      <c r="B37" s="62"/>
      <c r="C37" s="46" t="str">
        <f>IF(BI37="","",BI37)</f>
        <v/>
      </c>
      <c r="D37" s="47" t="str">
        <f>IF(BJ37="","",BJ37)</f>
        <v/>
      </c>
      <c r="E37" s="48" t="str">
        <f>IF(BK37="","",BK37)</f>
        <v/>
      </c>
      <c r="F37" s="49" t="str">
        <f>IF(BL37="","",BL37)</f>
        <v/>
      </c>
      <c r="G37" s="46"/>
      <c r="H37" s="47"/>
      <c r="I37" s="48"/>
      <c r="J37" s="49" t="str">
        <f>IF(SUM(G37:I37)=0,"",ROUND(AVERAGE(G37:I37),0))</f>
        <v/>
      </c>
      <c r="K37" s="50"/>
      <c r="L37" s="47"/>
      <c r="M37" s="48"/>
      <c r="N37" s="48" t="str">
        <f>IF(SUM(K37:M37)=0,"",ROUND(AVERAGE(K37:M37),0))</f>
        <v/>
      </c>
      <c r="O37" s="46"/>
      <c r="P37" s="47"/>
      <c r="Q37" s="48"/>
      <c r="R37" s="49" t="str">
        <f>IF(SUM(O37:Q37)=0,"",ROUND(AVERAGE(O37:Q37),0))</f>
        <v/>
      </c>
      <c r="S37" s="46"/>
      <c r="T37" s="47"/>
      <c r="U37" s="48"/>
      <c r="V37" s="49" t="str">
        <f>IF(SUM(S37:U37)=0,"",ROUND(AVERAGE(S37:U37),0))</f>
        <v/>
      </c>
      <c r="W37" s="50"/>
      <c r="X37" s="47"/>
      <c r="Y37" s="48"/>
      <c r="Z37" s="48" t="str">
        <f>IF(SUM(W37:Y37)=0,"",ROUND(AVERAGE(W37:Y37),0))</f>
        <v/>
      </c>
      <c r="AA37" s="46"/>
      <c r="AB37" s="47"/>
      <c r="AC37" s="48"/>
      <c r="AD37" s="49" t="str">
        <f>IF(SUM(AA37:AC37)=0,"",ROUND(AVERAGE(AA37:AC37),0))</f>
        <v/>
      </c>
      <c r="AE37" s="46" t="str">
        <f>IF(BU37="","",BU37)</f>
        <v/>
      </c>
      <c r="AF37" s="47" t="str">
        <f>IF(BV37="","",BV37)</f>
        <v/>
      </c>
      <c r="AG37" s="48" t="str">
        <f>IF(BW37="","",BW37)</f>
        <v/>
      </c>
      <c r="AH37" s="49" t="str">
        <f>IF(BX37="","",BX37)</f>
        <v/>
      </c>
      <c r="AI37" s="46"/>
      <c r="AJ37" s="47"/>
      <c r="AK37" s="48"/>
      <c r="AL37" s="49" t="str">
        <f>IF(SUM(AI37:AK37)=0,"",ROUND(AVERAGE(AI37:AK37),0))</f>
        <v/>
      </c>
      <c r="AM37" s="51"/>
      <c r="AN37" s="52"/>
      <c r="AO37" s="53"/>
      <c r="AP37" s="54" t="str">
        <f>IF(SUM(F37,J37,N37,R37,V37,Z37,AD37,AH37,AL37)=0,"",ROUND(AVERAGE(F37,J37,N37,R37,V37,Z37,AD37,AH37,AL37),2))</f>
        <v/>
      </c>
      <c r="AQ37" s="45">
        <v>30</v>
      </c>
      <c r="AR37" s="62" t="str">
        <f>IF(B37="","",B37)</f>
        <v/>
      </c>
      <c r="AS37" s="55"/>
      <c r="AT37" s="56"/>
      <c r="AU37" s="57"/>
      <c r="AV37" s="58" t="str">
        <f>IF(SUM(AS37:AU37)=0,"",ROUND(AVERAGE(AS37:AU37),0))</f>
        <v/>
      </c>
      <c r="AW37" s="59"/>
      <c r="AX37" s="56"/>
      <c r="AY37" s="57"/>
      <c r="AZ37" s="57" t="str">
        <f>IF(SUM(AW37:AY37)=0,"",ROUND(AVERAGE(AW37:AY37),0))</f>
        <v/>
      </c>
      <c r="BA37" s="55"/>
      <c r="BB37" s="56"/>
      <c r="BC37" s="57"/>
      <c r="BD37" s="58" t="str">
        <f>IF(SUM(BA37:BC37)=0,"",ROUND(AVERAGE(BA37:BC37),0))</f>
        <v/>
      </c>
      <c r="BE37" s="55"/>
      <c r="BF37" s="56"/>
      <c r="BG37" s="57"/>
      <c r="BH37" s="58" t="str">
        <f>IF(SUM(BE37:BG37)=0,"",ROUND(AVERAGE(BE37:BG37),0))</f>
        <v/>
      </c>
      <c r="BI37" s="46"/>
      <c r="BJ37" s="47"/>
      <c r="BK37" s="48"/>
      <c r="BL37" s="49" t="str">
        <f>IF(SUM(BI37:BK37)=0,"",ROUND(AVERAGE(BI37:BK37),0))</f>
        <v/>
      </c>
      <c r="BM37" s="59"/>
      <c r="BN37" s="56"/>
      <c r="BO37" s="57"/>
      <c r="BP37" s="57" t="str">
        <f>IF(SUM(BM37:BO37)=0,"",ROUND(AVERAGE(BM37:BO37),0))</f>
        <v/>
      </c>
      <c r="BQ37" s="55"/>
      <c r="BR37" s="56"/>
      <c r="BS37" s="57"/>
      <c r="BT37" s="58" t="str">
        <f>IF(SUM(BQ37:BS37)=0,"",ROUND(AVERAGE(BQ37:BS37),0))</f>
        <v/>
      </c>
      <c r="BU37" s="46"/>
      <c r="BV37" s="47"/>
      <c r="BW37" s="48"/>
      <c r="BX37" s="49" t="str">
        <f>IF(SUM(BU37:BW37)=0,"",ROUND(AVERAGE(BU37:BW37),0))</f>
        <v/>
      </c>
    </row>
    <row r="38" spans="1:80" customHeight="1" ht="15">
      <c r="A38" s="111" t="s">
        <v>52</v>
      </c>
      <c r="B38" s="112"/>
      <c r="C38" s="65">
        <f>IF(SUM(C8:C37)=0,"",AVERAGE(C8:C37))</f>
        <v>88.047619047619</v>
      </c>
      <c r="D38" s="66" t="str">
        <f>IF(SUM(D8:D37)=0,"",AVERAGE(D8:D37))</f>
        <v/>
      </c>
      <c r="E38" s="67" t="str">
        <f>IF(SUM(E8:E37)=0,"",AVERAGE(E8:E37))</f>
        <v/>
      </c>
      <c r="F38" s="68">
        <f>IF(SUM(F8:F37)=0,"",AVERAGE(F8:F37))</f>
        <v>88.047619047619</v>
      </c>
      <c r="G38" s="65">
        <f>IF(SUM(G8:G37)=0,"",AVERAGE(G8:G37))</f>
        <v>92.761904761905</v>
      </c>
      <c r="H38" s="66" t="str">
        <f>IF(SUM(H8:H37)=0,"",AVERAGE(H8:H37))</f>
        <v/>
      </c>
      <c r="I38" s="67" t="str">
        <f>IF(SUM(I8:I37)=0,"",AVERAGE(I8:I37))</f>
        <v/>
      </c>
      <c r="J38" s="68">
        <f>IF(SUM(J8:J37)=0,"",AVERAGE(J8:J37))</f>
        <v>92.761904761905</v>
      </c>
      <c r="K38" s="69">
        <f>IF(SUM(K8:K37)=0,"",AVERAGE(K8:K37))</f>
        <v>93.857142857143</v>
      </c>
      <c r="L38" s="66" t="str">
        <f>IF(SUM(L8:L37)=0,"",AVERAGE(L8:L37))</f>
        <v/>
      </c>
      <c r="M38" s="67" t="str">
        <f>IF(SUM(M8:M37)=0,"",AVERAGE(M8:M37))</f>
        <v/>
      </c>
      <c r="N38" s="67">
        <f>IF(SUM(N8:N37)=0,"",AVERAGE(N8:N37))</f>
        <v>93.857142857143</v>
      </c>
      <c r="O38" s="65">
        <f>IF(SUM(O8:O37)=0,"",AVERAGE(O8:O37))</f>
        <v>90.666666666667</v>
      </c>
      <c r="P38" s="66" t="str">
        <f>IF(SUM(P8:P37)=0,"",AVERAGE(P8:P37))</f>
        <v/>
      </c>
      <c r="Q38" s="67" t="str">
        <f>IF(SUM(Q8:Q37)=0,"",AVERAGE(Q8:Q37))</f>
        <v/>
      </c>
      <c r="R38" s="68">
        <f>IF(SUM(R8:R37)=0,"",AVERAGE(R8:R37))</f>
        <v>90.666666666667</v>
      </c>
      <c r="S38" s="65">
        <f>IF(SUM(S8:S37)=0,"",AVERAGE(S8:S37))</f>
        <v>85.761904761905</v>
      </c>
      <c r="T38" s="66" t="str">
        <f>IF(SUM(T8:T37)=0,"",AVERAGE(T8:T37))</f>
        <v/>
      </c>
      <c r="U38" s="67" t="str">
        <f>IF(SUM(U8:U37)=0,"",AVERAGE(U8:U37))</f>
        <v/>
      </c>
      <c r="V38" s="68">
        <f>IF(SUM(V8:V37)=0,"",AVERAGE(V8:V37))</f>
        <v>85.761904761905</v>
      </c>
      <c r="W38" s="69">
        <f>IF(SUM(W8:W37)=0,"",AVERAGE(W8:W37))</f>
        <v>91.52380952381</v>
      </c>
      <c r="X38" s="66" t="str">
        <f>IF(SUM(X8:X37)=0,"",AVERAGE(X8:X37))</f>
        <v/>
      </c>
      <c r="Y38" s="67" t="str">
        <f>IF(SUM(Y8:Y37)=0,"",AVERAGE(Y8:Y37))</f>
        <v/>
      </c>
      <c r="Z38" s="67">
        <f>IF(SUM(Z8:Z37)=0,"",AVERAGE(Z8:Z37))</f>
        <v>91.52380952381</v>
      </c>
      <c r="AA38" s="65">
        <f>IF(SUM(AA8:AA37)=0,"",AVERAGE(AA8:AA37))</f>
        <v>97.238095238095</v>
      </c>
      <c r="AB38" s="66" t="str">
        <f>IF(SUM(AB8:AB37)=0,"",AVERAGE(AB8:AB37))</f>
        <v/>
      </c>
      <c r="AC38" s="67" t="str">
        <f>IF(SUM(AC8:AC37)=0,"",AVERAGE(AC8:AC37))</f>
        <v/>
      </c>
      <c r="AD38" s="68">
        <f>IF(SUM(AD8:AD37)=0,"",AVERAGE(AD8:AD37))</f>
        <v>97.238095238095</v>
      </c>
      <c r="AE38" s="70">
        <f>IF(SUM(AE8:AE37)=0,"",AVERAGE(AE8:AE37))</f>
        <v>88.666666666667</v>
      </c>
      <c r="AF38" s="71" t="str">
        <f>IF(SUM(AF8:AF37)=0,"",AVERAGE(AF8:AF37))</f>
        <v/>
      </c>
      <c r="AG38" s="72" t="str">
        <f>IF(SUM(AG8:AG37)=0,"",AVERAGE(AG8:AG37))</f>
        <v/>
      </c>
      <c r="AH38" s="73">
        <f>IF(SUM(AH8:AH37)=0,"",AVERAGE(AH8:AH37))</f>
        <v>88.666666666667</v>
      </c>
      <c r="AI38" s="69">
        <f>IF(SUM(AI8:AI37)=0,"",AVERAGE(AI8:AI37))</f>
        <v>98.333333333333</v>
      </c>
      <c r="AJ38" s="66" t="str">
        <f>IF(SUM(AJ8:AJ37)=0,"",AVERAGE(AJ8:AJ37))</f>
        <v/>
      </c>
      <c r="AK38" s="67" t="str">
        <f>IF(SUM(AK8:AK37)=0,"",AVERAGE(AK8:AK37))</f>
        <v/>
      </c>
      <c r="AL38" s="67">
        <f>IF(SUM(AL8:AL37)=0,"",AVERAGE(AL8:AL37))</f>
        <v>98.333333333333</v>
      </c>
      <c r="AM38" s="74">
        <f>IF(SUM(AM8:AM37)=0,"",AVERAGE(AM8:AM37))</f>
        <v>91.761904761905</v>
      </c>
      <c r="AN38" s="75" t="str">
        <f>IF(SUM(AN8:AN37)=0,"",AVERAGE(AN8:AN37))</f>
        <v/>
      </c>
      <c r="AO38" s="76" t="str">
        <f>IF(SUM(AO8:AO37)=0,"",AVERAGE(AO8:AO37))</f>
        <v/>
      </c>
      <c r="AP38" s="77">
        <f>IF(SUM(AP8:AP37)=0,"",AVERAGE(AP8:AP37))</f>
        <v>91.871904761905</v>
      </c>
      <c r="AQ38" s="111" t="s">
        <v>52</v>
      </c>
      <c r="AR38" s="112"/>
      <c r="AS38" s="78">
        <f>IF(SUM(AS8:AS37)=0,"",AVERAGE(AS8:AS37))</f>
        <v>90.619047619048</v>
      </c>
      <c r="AT38" s="79" t="str">
        <f>IF(SUM(AT8:AT37)=0,"",AVERAGE(AT8:AT37))</f>
        <v/>
      </c>
      <c r="AU38" s="80" t="str">
        <f>IF(SUM(AU8:AU37)=0,"",AVERAGE(AU8:AU37))</f>
        <v/>
      </c>
      <c r="AV38" s="81">
        <f>IF(SUM(AV8:AV37)=0,"",AVERAGE(AV8:AV37))</f>
        <v>90.619047619048</v>
      </c>
      <c r="AW38" s="82">
        <f>IF(SUM(AW8:AW37)=0,"",AVERAGE(AW8:AW37))</f>
        <v>87</v>
      </c>
      <c r="AX38" s="79" t="str">
        <f>IF(SUM(AX8:AX37)=0,"",AVERAGE(AX8:AX37))</f>
        <v/>
      </c>
      <c r="AY38" s="80" t="str">
        <f>IF(SUM(AY8:AY37)=0,"",AVERAGE(AY8:AY37))</f>
        <v/>
      </c>
      <c r="AZ38" s="80">
        <f>IF(SUM(AZ8:AZ37)=0,"",AVERAGE(AZ8:AZ37))</f>
        <v>87</v>
      </c>
      <c r="BA38" s="78">
        <f>IF(SUM(BA8:BA37)=0,"",AVERAGE(BA8:BA37))</f>
        <v>82.666666666667</v>
      </c>
      <c r="BB38" s="79" t="str">
        <f>IF(SUM(BB8:BB37)=0,"",AVERAGE(BB8:BB37))</f>
        <v/>
      </c>
      <c r="BC38" s="80" t="str">
        <f>IF(SUM(BC8:BC37)=0,"",AVERAGE(BC8:BC37))</f>
        <v/>
      </c>
      <c r="BD38" s="81">
        <f>IF(SUM(BD8:BD37)=0,"",AVERAGE(BD8:BD37))</f>
        <v>82.666666666667</v>
      </c>
      <c r="BE38" s="78">
        <f>IF(SUM(BE8:BE37)=0,"",AVERAGE(BE8:BE37))</f>
        <v>85.047619047619</v>
      </c>
      <c r="BF38" s="79" t="str">
        <f>IF(SUM(BF8:BF37)=0,"",AVERAGE(BF8:BF37))</f>
        <v/>
      </c>
      <c r="BG38" s="80" t="str">
        <f>IF(SUM(BG8:BG37)=0,"",AVERAGE(BG8:BG37))</f>
        <v/>
      </c>
      <c r="BH38" s="81">
        <f>IF(SUM(BH8:BH37)=0,"",AVERAGE(BH8:BH37))</f>
        <v>85.047619047619</v>
      </c>
      <c r="BI38" s="65">
        <f>IF(SUM(BI8:BI37)=0,"",AVERAGE(BI8:BI37))</f>
        <v>88.047619047619</v>
      </c>
      <c r="BJ38" s="66" t="str">
        <f>IF(SUM(BJ8:BJ37)=0,"",AVERAGE(BJ8:BJ37))</f>
        <v/>
      </c>
      <c r="BK38" s="67" t="str">
        <f>IF(SUM(BK8:BK37)=0,"",AVERAGE(BK8:BK37))</f>
        <v/>
      </c>
      <c r="BL38" s="68">
        <f>IF(SUM(BL8:BL37)=0,"",AVERAGE(BL8:BL37))</f>
        <v>88.047619047619</v>
      </c>
      <c r="BM38" s="82">
        <f>IF(SUM(BM8:BM37)=0,"",AVERAGE(BM8:BM37))</f>
        <v>87.095238095238</v>
      </c>
      <c r="BN38" s="79" t="str">
        <f>IF(SUM(BN8:BN37)=0,"",AVERAGE(BN8:BN37))</f>
        <v/>
      </c>
      <c r="BO38" s="80" t="str">
        <f>IF(SUM(BO8:BO37)=0,"",AVERAGE(BO8:BO37))</f>
        <v/>
      </c>
      <c r="BP38" s="80">
        <f>IF(SUM(BP8:BP37)=0,"",AVERAGE(BP8:BP37))</f>
        <v>87.095238095238</v>
      </c>
      <c r="BQ38" s="78">
        <f>IF(SUM(BQ8:BQ37)=0,"",AVERAGE(BQ8:BQ37))</f>
        <v>89.761904761905</v>
      </c>
      <c r="BR38" s="79" t="str">
        <f>IF(SUM(BR8:BR37)=0,"",AVERAGE(BR8:BR37))</f>
        <v/>
      </c>
      <c r="BS38" s="80" t="str">
        <f>IF(SUM(BS8:BS37)=0,"",AVERAGE(BS8:BS37))</f>
        <v/>
      </c>
      <c r="BT38" s="81">
        <f>IF(SUM(BT8:BT37)=0,"",AVERAGE(BT8:BT37))</f>
        <v>89.761904761905</v>
      </c>
      <c r="BU38" s="70">
        <f>IF(SUM(BU8:BU37)=0,"",AVERAGE(BU8:BU37))</f>
        <v>88.666666666667</v>
      </c>
      <c r="BV38" s="71" t="str">
        <f>IF(SUM(BV8:BV37)=0,"",AVERAGE(BV8:BV37))</f>
        <v/>
      </c>
      <c r="BW38" s="72" t="str">
        <f>IF(SUM(BW8:BW37)=0,"",AVERAGE(BW8:BW37))</f>
        <v/>
      </c>
      <c r="BX38" s="73">
        <f>IF(SUM(BX8:BX37)=0,"",AVERAGE(BX8:BX37))</f>
        <v>88.666666666667</v>
      </c>
    </row>
    <row r="39" spans="1:80" customHeight="1" ht="15">
      <c r="A39" s="113" t="s">
        <v>53</v>
      </c>
      <c r="B39" s="114"/>
      <c r="C39" s="65">
        <f>IF(SUM(C8:C37)=0,"",MEDIAN(C8:C37))</f>
        <v>89</v>
      </c>
      <c r="D39" s="66" t="str">
        <f>IF(SUM(D8:D37)=0,"",MEDIAN(D8:D37))</f>
        <v/>
      </c>
      <c r="E39" s="67" t="str">
        <f>IF(SUM(E8:E37)=0,"",MEDIAN(E8:E37))</f>
        <v/>
      </c>
      <c r="F39" s="68">
        <f>IF(SUM(F8:F37)=0,"",MEDIAN(F8:F37))</f>
        <v>89</v>
      </c>
      <c r="G39" s="65">
        <f>IF(SUM(G8:G37)=0,"",MEDIAN(G8:G37))</f>
        <v>93</v>
      </c>
      <c r="H39" s="66" t="str">
        <f>IF(SUM(H8:H37)=0,"",MEDIAN(H8:H37))</f>
        <v/>
      </c>
      <c r="I39" s="67" t="str">
        <f>IF(SUM(I8:I37)=0,"",MEDIAN(I8:I37))</f>
        <v/>
      </c>
      <c r="J39" s="68">
        <f>IF(SUM(J8:J37)=0,"",MEDIAN(J8:J37))</f>
        <v>93</v>
      </c>
      <c r="K39" s="69">
        <f>IF(SUM(K8:K37)=0,"",MEDIAN(K8:K37))</f>
        <v>94</v>
      </c>
      <c r="L39" s="66" t="str">
        <f>IF(SUM(L8:L37)=0,"",MEDIAN(L8:L37))</f>
        <v/>
      </c>
      <c r="M39" s="67" t="str">
        <f>IF(SUM(M8:M37)=0,"",MEDIAN(M8:M37))</f>
        <v/>
      </c>
      <c r="N39" s="67">
        <f>IF(SUM(N8:N37)=0,"",MEDIAN(N8:N37))</f>
        <v>94</v>
      </c>
      <c r="O39" s="65">
        <f>IF(SUM(O8:O37)=0,"",MEDIAN(O8:O37))</f>
        <v>91</v>
      </c>
      <c r="P39" s="66" t="str">
        <f>IF(SUM(P8:P37)=0,"",MEDIAN(P8:P37))</f>
        <v/>
      </c>
      <c r="Q39" s="67" t="str">
        <f>IF(SUM(Q8:Q37)=0,"",MEDIAN(Q8:Q37))</f>
        <v/>
      </c>
      <c r="R39" s="68">
        <f>IF(SUM(R8:R37)=0,"",MEDIAN(R8:R37))</f>
        <v>91</v>
      </c>
      <c r="S39" s="65">
        <f>IF(SUM(S8:S37)=0,"",MEDIAN(S8:S37))</f>
        <v>87</v>
      </c>
      <c r="T39" s="66" t="str">
        <f>IF(SUM(T8:T37)=0,"",MEDIAN(T8:T37))</f>
        <v/>
      </c>
      <c r="U39" s="67" t="str">
        <f>IF(SUM(U8:U37)=0,"",MEDIAN(U8:U37))</f>
        <v/>
      </c>
      <c r="V39" s="68">
        <f>IF(SUM(V8:V37)=0,"",MEDIAN(V8:V37))</f>
        <v>87</v>
      </c>
      <c r="W39" s="69">
        <f>IF(SUM(W8:W37)=0,"",MEDIAN(W8:W37))</f>
        <v>91</v>
      </c>
      <c r="X39" s="66" t="str">
        <f>IF(SUM(X8:X37)=0,"",MEDIAN(X8:X37))</f>
        <v/>
      </c>
      <c r="Y39" s="67" t="str">
        <f>IF(SUM(Y8:Y37)=0,"",MEDIAN(Y8:Y37))</f>
        <v/>
      </c>
      <c r="Z39" s="67">
        <f>IF(SUM(Z8:Z37)=0,"",MEDIAN(Z8:Z37))</f>
        <v>91</v>
      </c>
      <c r="AA39" s="65">
        <f>IF(SUM(AA8:AA37)=0,"",MEDIAN(AA8:AA37))</f>
        <v>98</v>
      </c>
      <c r="AB39" s="66" t="str">
        <f>IF(SUM(AB8:AB37)=0,"",MEDIAN(AB8:AB37))</f>
        <v/>
      </c>
      <c r="AC39" s="67" t="str">
        <f>IF(SUM(AC8:AC37)=0,"",MEDIAN(AC8:AC37))</f>
        <v/>
      </c>
      <c r="AD39" s="68">
        <f>IF(SUM(AD8:AD37)=0,"",MEDIAN(AD8:AD37))</f>
        <v>98</v>
      </c>
      <c r="AE39" s="65">
        <f>IF(SUM(AE8:AE37)=0,"",MEDIAN(AE8:AE37))</f>
        <v>90</v>
      </c>
      <c r="AF39" s="66" t="str">
        <f>IF(SUM(AF8:AF37)=0,"",MEDIAN(AF8:AF37))</f>
        <v/>
      </c>
      <c r="AG39" s="67" t="str">
        <f>IF(SUM(AG8:AG37)=0,"",MEDIAN(AG8:AG37))</f>
        <v/>
      </c>
      <c r="AH39" s="68">
        <f>IF(SUM(AH8:AH37)=0,"",MEDIAN(AH8:AH37))</f>
        <v>90</v>
      </c>
      <c r="AI39" s="69">
        <f>IF(SUM(AI8:AI37)=0,"",MEDIAN(AI8:AI37))</f>
        <v>99</v>
      </c>
      <c r="AJ39" s="66" t="str">
        <f>IF(SUM(AJ8:AJ37)=0,"",MEDIAN(AJ8:AJ37))</f>
        <v/>
      </c>
      <c r="AK39" s="67" t="str">
        <f>IF(SUM(AK8:AK37)=0,"",MEDIAN(AK8:AK37))</f>
        <v/>
      </c>
      <c r="AL39" s="67">
        <f>IF(SUM(AL8:AL37)=0,"",MEDIAN(AL8:AL37))</f>
        <v>99</v>
      </c>
      <c r="AM39" s="74">
        <f>IF(SUM(AM8:AM37)=0,"",MEDIAN(AM8:AM37))</f>
        <v>92</v>
      </c>
      <c r="AN39" s="75" t="str">
        <f>IF(SUM(AN8:AN37)=0,"",MEDIAN(AN8:AN37))</f>
        <v/>
      </c>
      <c r="AO39" s="76" t="str">
        <f>IF(SUM(AO8:AO37)=0,"",MEDIAN(AO8:AO37))</f>
        <v/>
      </c>
      <c r="AP39" s="77">
        <f>IF(SUM(AP8:AP37)=0,"",MEDIAN(AP8:AP37))</f>
        <v>92.33</v>
      </c>
      <c r="AQ39" s="113" t="s">
        <v>53</v>
      </c>
      <c r="AR39" s="114"/>
      <c r="AS39" s="78">
        <f>IF(SUM(AS8:AS37)=0,"",MEDIAN(AS8:AS37))</f>
        <v>93</v>
      </c>
      <c r="AT39" s="79" t="str">
        <f>IF(SUM(AT8:AT37)=0,"",MEDIAN(AT8:AT37))</f>
        <v/>
      </c>
      <c r="AU39" s="80" t="str">
        <f>IF(SUM(AU8:AU37)=0,"",MEDIAN(AU8:AU37))</f>
        <v/>
      </c>
      <c r="AV39" s="81">
        <f>IF(SUM(AV8:AV37)=0,"",MEDIAN(AV8:AV37))</f>
        <v>93</v>
      </c>
      <c r="AW39" s="82">
        <f>IF(SUM(AW8:AW37)=0,"",MEDIAN(AW8:AW37))</f>
        <v>86</v>
      </c>
      <c r="AX39" s="79" t="str">
        <f>IF(SUM(AX8:AX37)=0,"",MEDIAN(AX8:AX37))</f>
        <v/>
      </c>
      <c r="AY39" s="80" t="str">
        <f>IF(SUM(AY8:AY37)=0,"",MEDIAN(AY8:AY37))</f>
        <v/>
      </c>
      <c r="AZ39" s="80">
        <f>IF(SUM(AZ8:AZ37)=0,"",MEDIAN(AZ8:AZ37))</f>
        <v>86</v>
      </c>
      <c r="BA39" s="78">
        <f>IF(SUM(BA8:BA37)=0,"",MEDIAN(BA8:BA37))</f>
        <v>82</v>
      </c>
      <c r="BB39" s="79" t="str">
        <f>IF(SUM(BB8:BB37)=0,"",MEDIAN(BB8:BB37))</f>
        <v/>
      </c>
      <c r="BC39" s="80" t="str">
        <f>IF(SUM(BC8:BC37)=0,"",MEDIAN(BC8:BC37))</f>
        <v/>
      </c>
      <c r="BD39" s="81">
        <f>IF(SUM(BD8:BD37)=0,"",MEDIAN(BD8:BD37))</f>
        <v>82</v>
      </c>
      <c r="BE39" s="78">
        <f>IF(SUM(BE8:BE37)=0,"",MEDIAN(BE8:BE37))</f>
        <v>84</v>
      </c>
      <c r="BF39" s="79" t="str">
        <f>IF(SUM(BF8:BF37)=0,"",MEDIAN(BF8:BF37))</f>
        <v/>
      </c>
      <c r="BG39" s="80" t="str">
        <f>IF(SUM(BG8:BG37)=0,"",MEDIAN(BG8:BG37))</f>
        <v/>
      </c>
      <c r="BH39" s="81">
        <f>IF(SUM(BH8:BH37)=0,"",MEDIAN(BH8:BH37))</f>
        <v>84</v>
      </c>
      <c r="BI39" s="65">
        <f>IF(SUM(BI8:BI37)=0,"",MEDIAN(BI8:BI37))</f>
        <v>89</v>
      </c>
      <c r="BJ39" s="66" t="str">
        <f>IF(SUM(BJ8:BJ37)=0,"",MEDIAN(BJ8:BJ37))</f>
        <v/>
      </c>
      <c r="BK39" s="67" t="str">
        <f>IF(SUM(BK8:BK37)=0,"",MEDIAN(BK8:BK37))</f>
        <v/>
      </c>
      <c r="BL39" s="68">
        <f>IF(SUM(BL8:BL37)=0,"",MEDIAN(BL8:BL37))</f>
        <v>89</v>
      </c>
      <c r="BM39" s="82">
        <f>IF(SUM(BM8:BM37)=0,"",MEDIAN(BM8:BM37))</f>
        <v>90</v>
      </c>
      <c r="BN39" s="79" t="str">
        <f>IF(SUM(BN8:BN37)=0,"",MEDIAN(BN8:BN37))</f>
        <v/>
      </c>
      <c r="BO39" s="80" t="str">
        <f>IF(SUM(BO8:BO37)=0,"",MEDIAN(BO8:BO37))</f>
        <v/>
      </c>
      <c r="BP39" s="80">
        <f>IF(SUM(BP8:BP37)=0,"",MEDIAN(BP8:BP37))</f>
        <v>90</v>
      </c>
      <c r="BQ39" s="78">
        <f>IF(SUM(BQ8:BQ37)=0,"",MEDIAN(BQ8:BQ37))</f>
        <v>90</v>
      </c>
      <c r="BR39" s="79" t="str">
        <f>IF(SUM(BR8:BR37)=0,"",MEDIAN(BR8:BR37))</f>
        <v/>
      </c>
      <c r="BS39" s="80" t="str">
        <f>IF(SUM(BS8:BS37)=0,"",MEDIAN(BS8:BS37))</f>
        <v/>
      </c>
      <c r="BT39" s="81">
        <f>IF(SUM(BT8:BT37)=0,"",MEDIAN(BT8:BT37))</f>
        <v>90</v>
      </c>
      <c r="BU39" s="65">
        <f>IF(SUM(BU8:BU37)=0,"",MEDIAN(BU8:BU37))</f>
        <v>90</v>
      </c>
      <c r="BV39" s="66" t="str">
        <f>IF(SUM(BV8:BV37)=0,"",MEDIAN(BV8:BV37))</f>
        <v/>
      </c>
      <c r="BW39" s="67" t="str">
        <f>IF(SUM(BW8:BW37)=0,"",MEDIAN(BW8:BW37))</f>
        <v/>
      </c>
      <c r="BX39" s="68">
        <f>IF(SUM(BX8:BX37)=0,"",MEDIAN(BX8:BX37))</f>
        <v>90</v>
      </c>
    </row>
    <row r="40" spans="1:80" customHeight="1" ht="15">
      <c r="A40" s="113" t="s">
        <v>54</v>
      </c>
      <c r="B40" s="114"/>
      <c r="C40" s="65">
        <f>IF(SUM(C8:C37)=0,"",MAX(C8:C37))</f>
        <v>96</v>
      </c>
      <c r="D40" s="66" t="str">
        <f>IF(SUM(D8:D37)=0,"",MAX(D8:D37))</f>
        <v/>
      </c>
      <c r="E40" s="67" t="str">
        <f>IF(SUM(E8:E37)=0,"",MAX(E8:E37))</f>
        <v/>
      </c>
      <c r="F40" s="68">
        <f>IF(SUM(F8:F37)=0,"",MAX(F8:F37))</f>
        <v>96</v>
      </c>
      <c r="G40" s="65">
        <f>IF(SUM(G8:G37)=0,"",MAX(G8:G37))</f>
        <v>97</v>
      </c>
      <c r="H40" s="66" t="str">
        <f>IF(SUM(H8:H37)=0,"",MAX(H8:H37))</f>
        <v/>
      </c>
      <c r="I40" s="67" t="str">
        <f>IF(SUM(I8:I37)=0,"",MAX(I8:I37))</f>
        <v/>
      </c>
      <c r="J40" s="68">
        <f>IF(SUM(J8:J37)=0,"",MAX(J8:J37))</f>
        <v>97</v>
      </c>
      <c r="K40" s="69">
        <f>IF(SUM(K8:K37)=0,"",MAX(K8:K37))</f>
        <v>100</v>
      </c>
      <c r="L40" s="66" t="str">
        <f>IF(SUM(L8:L37)=0,"",MAX(L8:L37))</f>
        <v/>
      </c>
      <c r="M40" s="67" t="str">
        <f>IF(SUM(M8:M37)=0,"",MAX(M8:M37))</f>
        <v/>
      </c>
      <c r="N40" s="67">
        <f>IF(SUM(N8:N37)=0,"",MAX(N8:N37))</f>
        <v>100</v>
      </c>
      <c r="O40" s="65">
        <f>IF(SUM(O8:O37)=0,"",MAX(O8:O37))</f>
        <v>99</v>
      </c>
      <c r="P40" s="66" t="str">
        <f>IF(SUM(P8:P37)=0,"",MAX(P8:P37))</f>
        <v/>
      </c>
      <c r="Q40" s="67" t="str">
        <f>IF(SUM(Q8:Q37)=0,"",MAX(Q8:Q37))</f>
        <v/>
      </c>
      <c r="R40" s="68">
        <f>IF(SUM(R8:R37)=0,"",MAX(R8:R37))</f>
        <v>99</v>
      </c>
      <c r="S40" s="65">
        <f>IF(SUM(S8:S37)=0,"",MAX(S8:S37))</f>
        <v>96</v>
      </c>
      <c r="T40" s="66" t="str">
        <f>IF(SUM(T8:T37)=0,"",MAX(T8:T37))</f>
        <v/>
      </c>
      <c r="U40" s="67" t="str">
        <f>IF(SUM(U8:U37)=0,"",MAX(U8:U37))</f>
        <v/>
      </c>
      <c r="V40" s="68">
        <f>IF(SUM(V8:V37)=0,"",MAX(V8:V37))</f>
        <v>96</v>
      </c>
      <c r="W40" s="69">
        <f>IF(SUM(W8:W37)=0,"",MAX(W8:W37))</f>
        <v>96</v>
      </c>
      <c r="X40" s="66" t="str">
        <f>IF(SUM(X8:X37)=0,"",MAX(X8:X37))</f>
        <v/>
      </c>
      <c r="Y40" s="67" t="str">
        <f>IF(SUM(Y8:Y37)=0,"",MAX(Y8:Y37))</f>
        <v/>
      </c>
      <c r="Z40" s="67">
        <f>IF(SUM(Z8:Z37)=0,"",MAX(Z8:Z37))</f>
        <v>96</v>
      </c>
      <c r="AA40" s="65">
        <f>IF(SUM(AA8:AA37)=0,"",MAX(AA8:AA37))</f>
        <v>100</v>
      </c>
      <c r="AB40" s="66" t="str">
        <f>IF(SUM(AB8:AB37)=0,"",MAX(AB8:AB37))</f>
        <v/>
      </c>
      <c r="AC40" s="67" t="str">
        <f>IF(SUM(AC8:AC37)=0,"",MAX(AC8:AC37))</f>
        <v/>
      </c>
      <c r="AD40" s="68">
        <f>IF(SUM(AD8:AD37)=0,"",MAX(AD8:AD37))</f>
        <v>100</v>
      </c>
      <c r="AE40" s="65">
        <f>IF(SUM(AE8:AE37)=0,"",MAX(AE8:AE37))</f>
        <v>94</v>
      </c>
      <c r="AF40" s="66" t="str">
        <f>IF(SUM(AF8:AF37)=0,"",MAX(AF8:AF37))</f>
        <v/>
      </c>
      <c r="AG40" s="67" t="str">
        <f>IF(SUM(AG8:AG37)=0,"",MAX(AG8:AG37))</f>
        <v/>
      </c>
      <c r="AH40" s="68">
        <f>IF(SUM(AH8:AH37)=0,"",MAX(AH8:AH37))</f>
        <v>94</v>
      </c>
      <c r="AI40" s="69">
        <f>IF(SUM(AI8:AI37)=0,"",MAX(AI8:AI37))</f>
        <v>100</v>
      </c>
      <c r="AJ40" s="66" t="str">
        <f>IF(SUM(AJ8:AJ37)=0,"",MAX(AJ8:AJ37))</f>
        <v/>
      </c>
      <c r="AK40" s="67" t="str">
        <f>IF(SUM(AK8:AK37)=0,"",MAX(AK8:AK37))</f>
        <v/>
      </c>
      <c r="AL40" s="67">
        <f>IF(SUM(AL8:AL37)=0,"",MAX(AL8:AL37))</f>
        <v>100</v>
      </c>
      <c r="AM40" s="74">
        <f>IF(SUM(AM8:AM37)=0,"",MAX(AM8:AM37))</f>
        <v>96</v>
      </c>
      <c r="AN40" s="75" t="str">
        <f>IF(SUM(AN8:AN37)=0,"",MAX(AN8:AN37))</f>
        <v/>
      </c>
      <c r="AO40" s="76" t="str">
        <f>IF(SUM(AO8:AO37)=0,"",MAX(AO8:AO37))</f>
        <v/>
      </c>
      <c r="AP40" s="77">
        <f>IF(SUM(AP8:AP37)=0,"",MAX(AP8:AP37))</f>
        <v>96.33</v>
      </c>
      <c r="AQ40" s="113" t="s">
        <v>54</v>
      </c>
      <c r="AR40" s="114"/>
      <c r="AS40" s="78">
        <f>IF(SUM(AS8:AS37)=0,"",MAX(AS8:AS37))</f>
        <v>97</v>
      </c>
      <c r="AT40" s="79" t="str">
        <f>IF(SUM(AT8:AT37)=0,"",MAX(AT8:AT37))</f>
        <v/>
      </c>
      <c r="AU40" s="80" t="str">
        <f>IF(SUM(AU8:AU37)=0,"",MAX(AU8:AU37))</f>
        <v/>
      </c>
      <c r="AV40" s="81">
        <f>IF(SUM(AV8:AV37)=0,"",MAX(AV8:AV37))</f>
        <v>97</v>
      </c>
      <c r="AW40" s="82">
        <f>IF(SUM(AW8:AW37)=0,"",MAX(AW8:AW37))</f>
        <v>98</v>
      </c>
      <c r="AX40" s="79" t="str">
        <f>IF(SUM(AX8:AX37)=0,"",MAX(AX8:AX37))</f>
        <v/>
      </c>
      <c r="AY40" s="80" t="str">
        <f>IF(SUM(AY8:AY37)=0,"",MAX(AY8:AY37))</f>
        <v/>
      </c>
      <c r="AZ40" s="80">
        <f>IF(SUM(AZ8:AZ37)=0,"",MAX(AZ8:AZ37))</f>
        <v>98</v>
      </c>
      <c r="BA40" s="78">
        <f>IF(SUM(BA8:BA37)=0,"",MAX(BA8:BA37))</f>
        <v>93</v>
      </c>
      <c r="BB40" s="79" t="str">
        <f>IF(SUM(BB8:BB37)=0,"",MAX(BB8:BB37))</f>
        <v/>
      </c>
      <c r="BC40" s="80" t="str">
        <f>IF(SUM(BC8:BC37)=0,"",MAX(BC8:BC37))</f>
        <v/>
      </c>
      <c r="BD40" s="81">
        <f>IF(SUM(BD8:BD37)=0,"",MAX(BD8:BD37))</f>
        <v>93</v>
      </c>
      <c r="BE40" s="78">
        <f>IF(SUM(BE8:BE37)=0,"",MAX(BE8:BE37))</f>
        <v>95</v>
      </c>
      <c r="BF40" s="79" t="str">
        <f>IF(SUM(BF8:BF37)=0,"",MAX(BF8:BF37))</f>
        <v/>
      </c>
      <c r="BG40" s="80" t="str">
        <f>IF(SUM(BG8:BG37)=0,"",MAX(BG8:BG37))</f>
        <v/>
      </c>
      <c r="BH40" s="81">
        <f>IF(SUM(BH8:BH37)=0,"",MAX(BH8:BH37))</f>
        <v>95</v>
      </c>
      <c r="BI40" s="65">
        <f>IF(SUM(BI8:BI37)=0,"",MAX(BI8:BI37))</f>
        <v>96</v>
      </c>
      <c r="BJ40" s="66" t="str">
        <f>IF(SUM(BJ8:BJ37)=0,"",MAX(BJ8:BJ37))</f>
        <v/>
      </c>
      <c r="BK40" s="67" t="str">
        <f>IF(SUM(BK8:BK37)=0,"",MAX(BK8:BK37))</f>
        <v/>
      </c>
      <c r="BL40" s="68">
        <f>IF(SUM(BL8:BL37)=0,"",MAX(BL8:BL37))</f>
        <v>96</v>
      </c>
      <c r="BM40" s="82">
        <f>IF(SUM(BM8:BM37)=0,"",MAX(BM8:BM37))</f>
        <v>93</v>
      </c>
      <c r="BN40" s="79" t="str">
        <f>IF(SUM(BN8:BN37)=0,"",MAX(BN8:BN37))</f>
        <v/>
      </c>
      <c r="BO40" s="80" t="str">
        <f>IF(SUM(BO8:BO37)=0,"",MAX(BO8:BO37))</f>
        <v/>
      </c>
      <c r="BP40" s="80">
        <f>IF(SUM(BP8:BP37)=0,"",MAX(BP8:BP37))</f>
        <v>93</v>
      </c>
      <c r="BQ40" s="78">
        <f>IF(SUM(BQ8:BQ37)=0,"",MAX(BQ8:BQ37))</f>
        <v>95</v>
      </c>
      <c r="BR40" s="79" t="str">
        <f>IF(SUM(BR8:BR37)=0,"",MAX(BR8:BR37))</f>
        <v/>
      </c>
      <c r="BS40" s="80" t="str">
        <f>IF(SUM(BS8:BS37)=0,"",MAX(BS8:BS37))</f>
        <v/>
      </c>
      <c r="BT40" s="81">
        <f>IF(SUM(BT8:BT37)=0,"",MAX(BT8:BT37))</f>
        <v>95</v>
      </c>
      <c r="BU40" s="65">
        <f>IF(SUM(BU8:BU37)=0,"",MAX(BU8:BU37))</f>
        <v>94</v>
      </c>
      <c r="BV40" s="66" t="str">
        <f>IF(SUM(BV8:BV37)=0,"",MAX(BV8:BV37))</f>
        <v/>
      </c>
      <c r="BW40" s="67" t="str">
        <f>IF(SUM(BW8:BW37)=0,"",MAX(BW8:BW37))</f>
        <v/>
      </c>
      <c r="BX40" s="68">
        <f>IF(SUM(BX8:BX37)=0,"",MAX(BX8:BX37))</f>
        <v>94</v>
      </c>
    </row>
    <row r="41" spans="1:80" customHeight="1" ht="15">
      <c r="A41" s="113" t="s">
        <v>55</v>
      </c>
      <c r="B41" s="114"/>
      <c r="C41" s="65">
        <f>IF(SUM(C8:C37)=0,"",MIN(C8:C37))</f>
        <v>71</v>
      </c>
      <c r="D41" s="66" t="str">
        <f>IF(SUM(D8:D37)=0,"",MIN(D8:D37))</f>
        <v/>
      </c>
      <c r="E41" s="67" t="str">
        <f>IF(SUM(E8:E37)=0,"",MIN(E8:E37))</f>
        <v/>
      </c>
      <c r="F41" s="68">
        <f>IF(SUM(F8:F37)=0,"",MIN(F8:F37))</f>
        <v>71</v>
      </c>
      <c r="G41" s="65">
        <f>IF(SUM(G8:G37)=0,"",MIN(G8:G37))</f>
        <v>88</v>
      </c>
      <c r="H41" s="66" t="str">
        <f>IF(SUM(H8:H37)=0,"",MIN(H8:H37))</f>
        <v/>
      </c>
      <c r="I41" s="67" t="str">
        <f>IF(SUM(I8:I37)=0,"",MIN(I8:I37))</f>
        <v/>
      </c>
      <c r="J41" s="68">
        <f>IF(SUM(J8:J37)=0,"",MIN(J8:J37))</f>
        <v>88</v>
      </c>
      <c r="K41" s="69">
        <f>IF(SUM(K8:K37)=0,"",MIN(K8:K37))</f>
        <v>86</v>
      </c>
      <c r="L41" s="66" t="str">
        <f>IF(SUM(L8:L37)=0,"",MIN(L8:L37))</f>
        <v/>
      </c>
      <c r="M41" s="67" t="str">
        <f>IF(SUM(M8:M37)=0,"",MIN(M8:M37))</f>
        <v/>
      </c>
      <c r="N41" s="67">
        <f>IF(SUM(N8:N37)=0,"",MIN(N8:N37))</f>
        <v>86</v>
      </c>
      <c r="O41" s="65">
        <f>IF(SUM(O8:O37)=0,"",MIN(O8:O37))</f>
        <v>78</v>
      </c>
      <c r="P41" s="66" t="str">
        <f>IF(SUM(P8:P37)=0,"",MIN(P8:P37))</f>
        <v/>
      </c>
      <c r="Q41" s="67" t="str">
        <f>IF(SUM(Q8:Q37)=0,"",MIN(Q8:Q37))</f>
        <v/>
      </c>
      <c r="R41" s="68">
        <f>IF(SUM(R8:R37)=0,"",MIN(R8:R37))</f>
        <v>78</v>
      </c>
      <c r="S41" s="65">
        <f>IF(SUM(S8:S37)=0,"",MIN(S8:S37))</f>
        <v>67</v>
      </c>
      <c r="T41" s="66" t="str">
        <f>IF(SUM(T8:T37)=0,"",MIN(T8:T37))</f>
        <v/>
      </c>
      <c r="U41" s="67" t="str">
        <f>IF(SUM(U8:U37)=0,"",MIN(U8:U37))</f>
        <v/>
      </c>
      <c r="V41" s="68">
        <f>IF(SUM(V8:V37)=0,"",MIN(V8:V37))</f>
        <v>67</v>
      </c>
      <c r="W41" s="69">
        <f>IF(SUM(W8:W37)=0,"",MIN(W8:W37))</f>
        <v>82</v>
      </c>
      <c r="X41" s="66" t="str">
        <f>IF(SUM(X8:X37)=0,"",MIN(X8:X37))</f>
        <v/>
      </c>
      <c r="Y41" s="67" t="str">
        <f>IF(SUM(Y8:Y37)=0,"",MIN(Y8:Y37))</f>
        <v/>
      </c>
      <c r="Z41" s="67">
        <f>IF(SUM(Z8:Z37)=0,"",MIN(Z8:Z37))</f>
        <v>82</v>
      </c>
      <c r="AA41" s="65">
        <f>IF(SUM(AA8:AA37)=0,"",MIN(AA8:AA37))</f>
        <v>92</v>
      </c>
      <c r="AB41" s="66" t="str">
        <f>IF(SUM(AB8:AB37)=0,"",MIN(AB8:AB37))</f>
        <v/>
      </c>
      <c r="AC41" s="67" t="str">
        <f>IF(SUM(AC8:AC37)=0,"",MIN(AC8:AC37))</f>
        <v/>
      </c>
      <c r="AD41" s="68">
        <f>IF(SUM(AD8:AD37)=0,"",MIN(AD8:AD37))</f>
        <v>92</v>
      </c>
      <c r="AE41" s="65">
        <f>IF(SUM(AE8:AE37)=0,"",MIN(AE8:AE37))</f>
        <v>74</v>
      </c>
      <c r="AF41" s="66" t="str">
        <f>IF(SUM(AF8:AF37)=0,"",MIN(AF8:AF37))</f>
        <v/>
      </c>
      <c r="AG41" s="67" t="str">
        <f>IF(SUM(AG8:AG37)=0,"",MIN(AG8:AG37))</f>
        <v/>
      </c>
      <c r="AH41" s="68">
        <f>IF(SUM(AH8:AH37)=0,"",MIN(AH8:AH37))</f>
        <v>74</v>
      </c>
      <c r="AI41" s="69">
        <f>IF(SUM(AI8:AI37)=0,"",MIN(AI8:AI37))</f>
        <v>92</v>
      </c>
      <c r="AJ41" s="66" t="str">
        <f>IF(SUM(AJ8:AJ37)=0,"",MIN(AJ8:AJ37))</f>
        <v/>
      </c>
      <c r="AK41" s="67" t="str">
        <f>IF(SUM(AK8:AK37)=0,"",MIN(AK8:AK37))</f>
        <v/>
      </c>
      <c r="AL41" s="67">
        <f>IF(SUM(AL8:AL37)=0,"",MIN(AL8:AL37))</f>
        <v>92</v>
      </c>
      <c r="AM41" s="74">
        <f>IF(SUM(AM8:AM37)=0,"",MIN(AM8:AM37))</f>
        <v>85</v>
      </c>
      <c r="AN41" s="75" t="str">
        <f>IF(SUM(AN8:AN37)=0,"",MIN(AN8:AN37))</f>
        <v/>
      </c>
      <c r="AO41" s="76" t="str">
        <f>IF(SUM(AO8:AO37)=0,"",MIN(AO8:AO37))</f>
        <v/>
      </c>
      <c r="AP41" s="77">
        <f>IF(SUM(AP8:AP37)=0,"",MIN(AP8:AP37))</f>
        <v>85.22</v>
      </c>
      <c r="AQ41" s="113" t="s">
        <v>55</v>
      </c>
      <c r="AR41" s="114"/>
      <c r="AS41" s="78">
        <f>IF(SUM(AS8:AS37)=0,"",MIN(AS8:AS37))</f>
        <v>69</v>
      </c>
      <c r="AT41" s="79" t="str">
        <f>IF(SUM(AT8:AT37)=0,"",MIN(AT8:AT37))</f>
        <v/>
      </c>
      <c r="AU41" s="80" t="str">
        <f>IF(SUM(AU8:AU37)=0,"",MIN(AU8:AU37))</f>
        <v/>
      </c>
      <c r="AV41" s="81">
        <f>IF(SUM(AV8:AV37)=0,"",MIN(AV8:AV37))</f>
        <v>69</v>
      </c>
      <c r="AW41" s="82">
        <f>IF(SUM(AW8:AW37)=0,"",MIN(AW8:AW37))</f>
        <v>78</v>
      </c>
      <c r="AX41" s="79" t="str">
        <f>IF(SUM(AX8:AX37)=0,"",MIN(AX8:AX37))</f>
        <v/>
      </c>
      <c r="AY41" s="80" t="str">
        <f>IF(SUM(AY8:AY37)=0,"",MIN(AY8:AY37))</f>
        <v/>
      </c>
      <c r="AZ41" s="80">
        <f>IF(SUM(AZ8:AZ37)=0,"",MIN(AZ8:AZ37))</f>
        <v>78</v>
      </c>
      <c r="BA41" s="78">
        <f>IF(SUM(BA8:BA37)=0,"",MIN(BA8:BA37))</f>
        <v>68</v>
      </c>
      <c r="BB41" s="79" t="str">
        <f>IF(SUM(BB8:BB37)=0,"",MIN(BB8:BB37))</f>
        <v/>
      </c>
      <c r="BC41" s="80" t="str">
        <f>IF(SUM(BC8:BC37)=0,"",MIN(BC8:BC37))</f>
        <v/>
      </c>
      <c r="BD41" s="81">
        <f>IF(SUM(BD8:BD37)=0,"",MIN(BD8:BD37))</f>
        <v>68</v>
      </c>
      <c r="BE41" s="78">
        <f>IF(SUM(BE8:BE37)=0,"",MIN(BE8:BE37))</f>
        <v>73</v>
      </c>
      <c r="BF41" s="79" t="str">
        <f>IF(SUM(BF8:BF37)=0,"",MIN(BF8:BF37))</f>
        <v/>
      </c>
      <c r="BG41" s="80" t="str">
        <f>IF(SUM(BG8:BG37)=0,"",MIN(BG8:BG37))</f>
        <v/>
      </c>
      <c r="BH41" s="81">
        <f>IF(SUM(BH8:BH37)=0,"",MIN(BH8:BH37))</f>
        <v>73</v>
      </c>
      <c r="BI41" s="65">
        <f>IF(SUM(BI8:BI37)=0,"",MIN(BI8:BI37))</f>
        <v>71</v>
      </c>
      <c r="BJ41" s="66" t="str">
        <f>IF(SUM(BJ8:BJ37)=0,"",MIN(BJ8:BJ37))</f>
        <v/>
      </c>
      <c r="BK41" s="67" t="str">
        <f>IF(SUM(BK8:BK37)=0,"",MIN(BK8:BK37))</f>
        <v/>
      </c>
      <c r="BL41" s="68">
        <f>IF(SUM(BL8:BL37)=0,"",MIN(BL8:BL37))</f>
        <v>71</v>
      </c>
      <c r="BM41" s="82">
        <f>IF(SUM(BM8:BM37)=0,"",MIN(BM8:BM37))</f>
        <v>62</v>
      </c>
      <c r="BN41" s="79" t="str">
        <f>IF(SUM(BN8:BN37)=0,"",MIN(BN8:BN37))</f>
        <v/>
      </c>
      <c r="BO41" s="80" t="str">
        <f>IF(SUM(BO8:BO37)=0,"",MIN(BO8:BO37))</f>
        <v/>
      </c>
      <c r="BP41" s="80">
        <f>IF(SUM(BP8:BP37)=0,"",MIN(BP8:BP37))</f>
        <v>62</v>
      </c>
      <c r="BQ41" s="78">
        <f>IF(SUM(BQ8:BQ37)=0,"",MIN(BQ8:BQ37))</f>
        <v>78</v>
      </c>
      <c r="BR41" s="79" t="str">
        <f>IF(SUM(BR8:BR37)=0,"",MIN(BR8:BR37))</f>
        <v/>
      </c>
      <c r="BS41" s="80" t="str">
        <f>IF(SUM(BS8:BS37)=0,"",MIN(BS8:BS37))</f>
        <v/>
      </c>
      <c r="BT41" s="81">
        <f>IF(SUM(BT8:BT37)=0,"",MIN(BT8:BT37))</f>
        <v>78</v>
      </c>
      <c r="BU41" s="65">
        <f>IF(SUM(BU8:BU37)=0,"",MIN(BU8:BU37))</f>
        <v>74</v>
      </c>
      <c r="BV41" s="66" t="str">
        <f>IF(SUM(BV8:BV37)=0,"",MIN(BV8:BV37))</f>
        <v/>
      </c>
      <c r="BW41" s="67" t="str">
        <f>IF(SUM(BW8:BW37)=0,"",MIN(BW8:BW37))</f>
        <v/>
      </c>
      <c r="BX41" s="68">
        <f>IF(SUM(BX8:BX37)=0,"",MIN(BX8:BX37))</f>
        <v>74</v>
      </c>
    </row>
    <row r="42" spans="1:80" customHeight="1" ht="15">
      <c r="A42" s="116" t="s">
        <v>56</v>
      </c>
      <c r="B42" s="117"/>
      <c r="C42" s="83">
        <f>IF(C38="","",COUNTIF(C8:C37,"&lt;51")/COUNT(C8:C37)*100)</f>
        <v>0</v>
      </c>
      <c r="D42" s="84" t="str">
        <f>IF(D38="","",COUNTIF(D8:D37,"&lt;51")/COUNT(D8:D37)*100)</f>
        <v/>
      </c>
      <c r="E42" s="85" t="str">
        <f>IF(E38="","",COUNTIF(E8:E37,"&lt;51")/COUNT(E8:E37)*100)</f>
        <v/>
      </c>
      <c r="F42" s="86">
        <f>IF(F38="","",COUNTIF(F8:F37,"&lt;51")/COUNT(F8:F37)*100)</f>
        <v>0</v>
      </c>
      <c r="G42" s="83">
        <f>IF(G38="","",COUNTIF(G8:G37,"&lt;51")/COUNT(G8:G37)*100)</f>
        <v>0</v>
      </c>
      <c r="H42" s="84" t="str">
        <f>IF(H38="","",COUNTIF(H8:H37,"&lt;51")/COUNT(H8:H37)*100)</f>
        <v/>
      </c>
      <c r="I42" s="85" t="str">
        <f>IF(I38="","",COUNTIF(I8:I37,"&lt;51")/COUNT(I8:I37)*100)</f>
        <v/>
      </c>
      <c r="J42" s="86">
        <f>IF(J38="","",COUNTIF(J8:J37,"&lt;51")/COUNT(J8:J37)*100)</f>
        <v>0</v>
      </c>
      <c r="K42" s="87">
        <f>IF(K38="","",COUNTIF(K8:K37,"&lt;51")/COUNT(K8:K37)*100)</f>
        <v>0</v>
      </c>
      <c r="L42" s="84" t="str">
        <f>IF(L38="","",COUNTIF(L8:L37,"&lt;51")/COUNT(L8:L37)*100)</f>
        <v/>
      </c>
      <c r="M42" s="85" t="str">
        <f>IF(M38="","",COUNTIF(M8:M37,"&lt;51")/COUNT(M8:M37)*100)</f>
        <v/>
      </c>
      <c r="N42" s="85">
        <f>IF(N38="","",COUNTIF(N8:N37,"&lt;51")/COUNT(N8:N37)*100)</f>
        <v>0</v>
      </c>
      <c r="O42" s="83">
        <f>IF(O38="","",COUNTIF(O8:O37,"&lt;51")/COUNT(O8:O37)*100)</f>
        <v>0</v>
      </c>
      <c r="P42" s="84" t="str">
        <f>IF(P38="","",COUNTIF(P8:P37,"&lt;51")/COUNT(P8:P37)*100)</f>
        <v/>
      </c>
      <c r="Q42" s="85" t="str">
        <f>IF(Q38="","",COUNTIF(Q8:Q37,"&lt;51")/COUNT(Q8:Q37)*100)</f>
        <v/>
      </c>
      <c r="R42" s="86">
        <f>IF(R38="","",COUNTIF(R8:R37,"&lt;51")/COUNT(R8:R37)*100)</f>
        <v>0</v>
      </c>
      <c r="S42" s="83">
        <f>IF(S38="","",COUNTIF(S8:S37,"&lt;51")/COUNT(S8:S37)*100)</f>
        <v>0</v>
      </c>
      <c r="T42" s="84" t="str">
        <f>IF(T38="","",COUNTIF(T8:T37,"&lt;51")/COUNT(T8:T37)*100)</f>
        <v/>
      </c>
      <c r="U42" s="85" t="str">
        <f>IF(U38="","",COUNTIF(U8:U37,"&lt;51")/COUNT(U8:U37)*100)</f>
        <v/>
      </c>
      <c r="V42" s="86">
        <f>IF(V38="","",COUNTIF(V8:V37,"&lt;51")/COUNT(V8:V37)*100)</f>
        <v>0</v>
      </c>
      <c r="W42" s="87">
        <f>IF(W38="","",COUNTIF(W8:W37,"&lt;51")/COUNT(W8:W37)*100)</f>
        <v>0</v>
      </c>
      <c r="X42" s="84" t="str">
        <f>IF(X38="","",COUNTIF(X8:X37,"&lt;51")/COUNT(X8:X37)*100)</f>
        <v/>
      </c>
      <c r="Y42" s="85" t="str">
        <f>IF(Y38="","",COUNTIF(Y8:Y37,"&lt;51")/COUNT(Y8:Y37)*100)</f>
        <v/>
      </c>
      <c r="Z42" s="85">
        <f>IF(Z38="","",COUNTIF(Z8:Z37,"&lt;51")/COUNT(Z8:Z37)*100)</f>
        <v>0</v>
      </c>
      <c r="AA42" s="83">
        <f>IF(AA38="","",COUNTIF(AA8:AA37,"&lt;51")/COUNT(AA8:AA37)*100)</f>
        <v>0</v>
      </c>
      <c r="AB42" s="84" t="str">
        <f>IF(AB38="","",COUNTIF(AB8:AB37,"&lt;51")/COUNT(AB8:AB37)*100)</f>
        <v/>
      </c>
      <c r="AC42" s="85" t="str">
        <f>IF(AC38="","",COUNTIF(AC8:AC37,"&lt;51")/COUNT(AC8:AC37)*100)</f>
        <v/>
      </c>
      <c r="AD42" s="86">
        <f>IF(AD38="","",COUNTIF(AD8:AD37,"&lt;51")/COUNT(AD8:AD37)*100)</f>
        <v>0</v>
      </c>
      <c r="AE42" s="83">
        <f>IF(AE38="","",COUNTIF(AE8:AE37,"&lt;51")/COUNT(AE8:AE37)*100)</f>
        <v>0</v>
      </c>
      <c r="AF42" s="84" t="str">
        <f>IF(AF38="","",COUNTIF(AF8:AF37,"&lt;51")/COUNT(AF8:AF37)*100)</f>
        <v/>
      </c>
      <c r="AG42" s="85" t="str">
        <f>IF(AG38="","",COUNTIF(AG8:AG37,"&lt;51")/COUNT(AG8:AG37)*100)</f>
        <v/>
      </c>
      <c r="AH42" s="86">
        <f>IF(AH38="","",COUNTIF(AH8:AH37,"&lt;51")/COUNT(AH8:AH37)*100)</f>
        <v>0</v>
      </c>
      <c r="AI42" s="87">
        <f>IF(AI38="","",COUNTIF(AI8:AI37,"&lt;51")/COUNT(AI8:AI37)*100)</f>
        <v>0</v>
      </c>
      <c r="AJ42" s="84" t="str">
        <f>IF(AJ38="","",COUNTIF(AJ8:AJ37,"&lt;51")/COUNT(AJ8:AJ37)*100)</f>
        <v/>
      </c>
      <c r="AK42" s="85" t="str">
        <f>IF(AK38="","",COUNTIF(AK8:AK37,"&lt;51")/COUNT(AK8:AK37)*100)</f>
        <v/>
      </c>
      <c r="AL42" s="85">
        <f>IF(AL38="","",COUNTIF(AL8:AL37,"&lt;51")/COUNT(AL8:AL37)*100)</f>
        <v>0</v>
      </c>
      <c r="AM42" s="88">
        <f>IF(AM38="","",COUNTIF(AM8:AM37,"&lt;51")/COUNT(AM8:AM37)*100)</f>
        <v>0</v>
      </c>
      <c r="AN42" s="89" t="str">
        <f>IF(AN38="","",COUNTIF(AN8:AN37,"&lt;51")/COUNT(AN8:AN37)*100)</f>
        <v/>
      </c>
      <c r="AO42" s="90" t="str">
        <f>IF(AO38="","",COUNTIF(AO8:AO37,"&lt;51")/COUNT(AO8:AO37)*100)</f>
        <v/>
      </c>
      <c r="AP42" s="91">
        <f>IF(AP38="","",COUNTIF(AP8:AP37,"&lt;51")/COUNT(AP8:AP37)*100)</f>
        <v>0</v>
      </c>
      <c r="AQ42" s="116" t="s">
        <v>56</v>
      </c>
      <c r="AR42" s="117"/>
      <c r="AS42" s="92">
        <f>IF(AS38="","",COUNTIF(AS8:AS37,"&lt;51")/COUNT(AS8:AS37)*100)</f>
        <v>0</v>
      </c>
      <c r="AT42" s="93" t="str">
        <f>IF(AT38="","",COUNTIF(AT8:AT37,"&lt;51")/COUNT(AT8:AT37)*100)</f>
        <v/>
      </c>
      <c r="AU42" s="94" t="str">
        <f>IF(AU38="","",COUNTIF(AU8:AU37,"&lt;51")/COUNT(AU8:AU37)*100)</f>
        <v/>
      </c>
      <c r="AV42" s="95">
        <f>IF(AV38="","",COUNTIF(AV8:AV37,"&lt;51")/COUNT(AV8:AV37)*100)</f>
        <v>0</v>
      </c>
      <c r="AW42" s="96">
        <f>IF(AW38="","",COUNTIF(AW8:AW37,"&lt;51")/COUNT(AW8:AW37)*100)</f>
        <v>0</v>
      </c>
      <c r="AX42" s="93" t="str">
        <f>IF(AX38="","",COUNTIF(AX8:AX37,"&lt;51")/COUNT(AX8:AX37)*100)</f>
        <v/>
      </c>
      <c r="AY42" s="94" t="str">
        <f>IF(AY38="","",COUNTIF(AY8:AY37,"&lt;51")/COUNT(AY8:AY37)*100)</f>
        <v/>
      </c>
      <c r="AZ42" s="94">
        <f>IF(AZ38="","",COUNTIF(AZ8:AZ37,"&lt;51")/COUNT(AZ8:AZ37)*100)</f>
        <v>0</v>
      </c>
      <c r="BA42" s="92">
        <f>IF(BA38="","",COUNTIF(BA8:BA37,"&lt;51")/COUNT(BA8:BA37)*100)</f>
        <v>0</v>
      </c>
      <c r="BB42" s="93" t="str">
        <f>IF(BB38="","",COUNTIF(BB8:BB37,"&lt;51")/COUNT(BB8:BB37)*100)</f>
        <v/>
      </c>
      <c r="BC42" s="94" t="str">
        <f>IF(BC38="","",COUNTIF(BC8:BC37,"&lt;51")/COUNT(BC8:BC37)*100)</f>
        <v/>
      </c>
      <c r="BD42" s="95">
        <f>IF(BD38="","",COUNTIF(BD8:BD37,"&lt;51")/COUNT(BD8:BD37)*100)</f>
        <v>0</v>
      </c>
      <c r="BE42" s="92">
        <f>IF(BE38="","",COUNTIF(BE8:BE37,"&lt;51")/COUNT(BE8:BE37)*100)</f>
        <v>0</v>
      </c>
      <c r="BF42" s="93" t="str">
        <f>IF(BF38="","",COUNTIF(BF8:BF37,"&lt;51")/COUNT(BF8:BF37)*100)</f>
        <v/>
      </c>
      <c r="BG42" s="94" t="str">
        <f>IF(BG38="","",COUNTIF(BG8:BG37,"&lt;51")/COUNT(BG8:BG37)*100)</f>
        <v/>
      </c>
      <c r="BH42" s="95">
        <f>IF(BH38="","",COUNTIF(BH8:BH37,"&lt;51")/COUNT(BH8:BH37)*100)</f>
        <v>0</v>
      </c>
      <c r="BI42" s="83">
        <f>IF(BI38="","",COUNTIF(BI8:BI37,"&lt;51")/COUNT(BI8:BI37)*100)</f>
        <v>0</v>
      </c>
      <c r="BJ42" s="84" t="str">
        <f>IF(BJ38="","",COUNTIF(BJ8:BJ37,"&lt;51")/COUNT(BJ8:BJ37)*100)</f>
        <v/>
      </c>
      <c r="BK42" s="85" t="str">
        <f>IF(BK38="","",COUNTIF(BK8:BK37,"&lt;51")/COUNT(BK8:BK37)*100)</f>
        <v/>
      </c>
      <c r="BL42" s="86">
        <f>IF(BL38="","",COUNTIF(BL8:BL37,"&lt;51")/COUNT(BL8:BL37)*100)</f>
        <v>0</v>
      </c>
      <c r="BM42" s="96">
        <f>IF(BM38="","",COUNTIF(BM8:BM37,"&lt;51")/COUNT(BM8:BM37)*100)</f>
        <v>0</v>
      </c>
      <c r="BN42" s="93" t="str">
        <f>IF(BN38="","",COUNTIF(BN8:BN37,"&lt;51")/COUNT(BN8:BN37)*100)</f>
        <v/>
      </c>
      <c r="BO42" s="94" t="str">
        <f>IF(BO38="","",COUNTIF(BO8:BO37,"&lt;51")/COUNT(BO8:BO37)*100)</f>
        <v/>
      </c>
      <c r="BP42" s="94">
        <f>IF(BP38="","",COUNTIF(BP8:BP37,"&lt;51")/COUNT(BP8:BP37)*100)</f>
        <v>0</v>
      </c>
      <c r="BQ42" s="92">
        <f>IF(BQ38="","",COUNTIF(BQ8:BQ37,"&lt;51")/COUNT(BQ8:BQ37)*100)</f>
        <v>0</v>
      </c>
      <c r="BR42" s="93" t="str">
        <f>IF(BR38="","",COUNTIF(BR8:BR37,"&lt;51")/COUNT(BR8:BR37)*100)</f>
        <v/>
      </c>
      <c r="BS42" s="94" t="str">
        <f>IF(BS38="","",COUNTIF(BS8:BS37,"&lt;51")/COUNT(BS8:BS37)*100)</f>
        <v/>
      </c>
      <c r="BT42" s="95">
        <f>IF(BT38="","",COUNTIF(BT8:BT37,"&lt;51")/COUNT(BT8:BT37)*100)</f>
        <v>0</v>
      </c>
      <c r="BU42" s="83">
        <f>IF(BU38="","",COUNTIF(BU8:BU37,"&lt;51")/COUNT(BU8:BU37)*100)</f>
        <v>0</v>
      </c>
      <c r="BV42" s="84" t="str">
        <f>IF(BV38="","",COUNTIF(BV8:BV37,"&lt;51")/COUNT(BV8:BV37)*100)</f>
        <v/>
      </c>
      <c r="BW42" s="85" t="str">
        <f>IF(BW38="","",COUNTIF(BW8:BW37,"&lt;51")/COUNT(BW8:BW37)*100)</f>
        <v/>
      </c>
      <c r="BX42" s="86">
        <f>IF(BX38="","",COUNTIF(BX8:BX37,"&lt;51")/COUNT(BX8:BX37)*100)</f>
        <v>0</v>
      </c>
    </row>
    <row r="43" spans="1:80" customHeight="1" ht="14.25">
      <c r="A43" t="s">
        <v>63</v>
      </c>
    </row>
    <row r="44" spans="1:80" customHeight="1" ht="11.25"/>
    <row r="45" spans="1:80" customHeight="1" ht="11.25"/>
    <row r="46" spans="1:80" customHeight="1" ht="11.25" s="2" customFormat="1"/>
    <row r="47" spans="1:80" customHeight="1" ht="11.25" s="2" customFormat="1"/>
    <row r="48" spans="1:80" customHeight="1" ht="11.25"/>
    <row r="49" spans="1:80" customHeight="1" ht="11.25"/>
    <row r="50" spans="1:80" customHeight="1" ht="15">
      <c r="A50" s="98" t="s">
        <v>57</v>
      </c>
      <c r="B50" s="98"/>
      <c r="C50" s="98"/>
      <c r="D50" s="98"/>
      <c r="E50" s="98"/>
      <c r="F50" s="98"/>
      <c r="G50" s="1"/>
      <c r="H50" s="1"/>
      <c r="I50" s="1"/>
      <c r="J50" s="1"/>
      <c r="K50" s="98" t="s">
        <v>57</v>
      </c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63"/>
      <c r="X50" s="1"/>
      <c r="Y50" s="1"/>
      <c r="Z50" s="1"/>
      <c r="AA50" s="98" t="s">
        <v>57</v>
      </c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Q50" s="98" t="s">
        <v>57</v>
      </c>
      <c r="AR50" s="98"/>
      <c r="AS50" s="98"/>
      <c r="AT50" s="98"/>
      <c r="AU50" s="98"/>
      <c r="AV50" s="98"/>
      <c r="AW50" s="98" t="s">
        <v>57</v>
      </c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63"/>
      <c r="BJ50" s="98" t="s">
        <v>57</v>
      </c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</row>
    <row r="51" spans="1:80" customHeight="1" ht="15">
      <c r="A51" s="97" t="s">
        <v>58</v>
      </c>
      <c r="B51" s="97"/>
      <c r="C51" s="97"/>
      <c r="D51" s="97"/>
      <c r="E51" s="97"/>
      <c r="F51" s="97"/>
      <c r="G51" s="1"/>
      <c r="H51" s="1"/>
      <c r="I51" s="1"/>
      <c r="J51" s="1"/>
      <c r="K51" s="97" t="s">
        <v>59</v>
      </c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1"/>
      <c r="X51" s="1"/>
      <c r="Y51" s="1"/>
      <c r="Z51" s="1"/>
      <c r="AA51" s="97" t="s">
        <v>60</v>
      </c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O51" s="2" t="s">
        <v>61</v>
      </c>
      <c r="AQ51" s="97" t="s">
        <v>58</v>
      </c>
      <c r="AR51" s="97"/>
      <c r="AS51" s="97"/>
      <c r="AT51" s="97"/>
      <c r="AU51" s="97"/>
      <c r="AV51" s="97"/>
      <c r="AW51" s="97" t="s">
        <v>59</v>
      </c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1"/>
      <c r="BJ51" s="97" t="s">
        <v>60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W51" s="64" t="s">
        <v>62</v>
      </c>
    </row>
    <row r="52" spans="1:80" customHeight="1" ht="15"/>
    <row r="53" spans="1:80" customHeight="1" ht="12.75"/>
    <row r="54" spans="1:80" customHeight="1" ht="12.75"/>
    <row r="55" spans="1:80" customHeight="1" ht="12.75"/>
    <row r="56" spans="1:80" customHeight="1" ht="12.75"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</row>
    <row r="57" spans="1:80" customHeight="1" ht="12.75"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customHeight="1" ht="12.75"/>
  </sheetData>
  <mergeCells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A6:A7"/>
    <mergeCell ref="A40:B40"/>
    <mergeCell ref="A41:B41"/>
    <mergeCell ref="A51:F51"/>
    <mergeCell ref="AS6:AV6"/>
    <mergeCell ref="K51:V51"/>
    <mergeCell ref="AA51:AL51"/>
    <mergeCell ref="AQ51:AV51"/>
    <mergeCell ref="AR6:AR7"/>
    <mergeCell ref="BA6:BD6"/>
    <mergeCell ref="A50:F50"/>
    <mergeCell ref="K50:V50"/>
    <mergeCell ref="AA50:AL50"/>
    <mergeCell ref="AQ50:AV50"/>
    <mergeCell ref="AQ41:AR41"/>
    <mergeCell ref="AQ42:AR42"/>
    <mergeCell ref="AW50:BH50"/>
    <mergeCell ref="A42:B42"/>
    <mergeCell ref="C6:F6"/>
    <mergeCell ref="B6:B7"/>
    <mergeCell ref="A38:B38"/>
    <mergeCell ref="AQ6:AQ7"/>
    <mergeCell ref="AA6:AD6"/>
    <mergeCell ref="A39:B39"/>
    <mergeCell ref="AW51:BH51"/>
    <mergeCell ref="BJ50:BU50"/>
    <mergeCell ref="BJ51:BU51"/>
    <mergeCell ref="AQ2:BX2"/>
    <mergeCell ref="AQ3:BX3"/>
    <mergeCell ref="AQ4:BX4"/>
    <mergeCell ref="AQ5:BX5"/>
    <mergeCell ref="BM6:BP6"/>
    <mergeCell ref="BQ6:BT6"/>
    <mergeCell ref="BU6:BX6"/>
    <mergeCell ref="BE6:BH6"/>
    <mergeCell ref="BI6:BL6"/>
    <mergeCell ref="AQ38:AR38"/>
    <mergeCell ref="AQ39:AR39"/>
    <mergeCell ref="AQ40:AR40"/>
    <mergeCell ref="AW6:AZ6"/>
  </mergeCells>
  <conditionalFormatting sqref="C8:AP37">
    <cfRule type="cellIs" dxfId="0" priority="1" operator="between">
      <formula>1</formula>
      <formula>50</formula>
    </cfRule>
  </conditionalFormatting>
  <conditionalFormatting sqref="AS8:BL37">
    <cfRule type="cellIs" dxfId="0" priority="2" operator="between">
      <formula>1</formula>
      <formula>50</formula>
    </cfRule>
  </conditionalFormatting>
  <conditionalFormatting sqref="BM8:BX37">
    <cfRule type="cellIs" dxfId="0" priority="3" operator="between">
      <formula>1</formula>
      <formula>50</formula>
    </cfRule>
  </conditionalFormatting>
  <printOptions gridLines="false" gridLinesSet="true"/>
  <pageMargins left="0.32111111111111" right="0.33055555555556" top="0.52" bottom="0.75" header="0.3" footer="0.3"/>
  <pageSetup paperSize="10000" orientation="landscape" scale="68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2026-05-04T21:41:25-05:00</dcterms:modified>
  <dc:title/>
  <dc:description/>
  <dc:subject/>
  <cp:keywords/>
  <cp:category/>
</cp:coreProperties>
</file>